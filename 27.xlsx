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\Downloads\"/>
    </mc:Choice>
  </mc:AlternateContent>
  <xr:revisionPtr revIDLastSave="0" documentId="13_ncr:1_{8928DED4-B9C2-45D0-BEB6-C04F473507B4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backend" sheetId="9" state="hidden" r:id="rId1"/>
    <sheet name="عداد الخلفات" sheetId="6" r:id="rId2"/>
    <sheet name="عداد النازل" sheetId="8" r:id="rId3"/>
    <sheet name="متابعة تعبئة" sheetId="7" r:id="rId4"/>
    <sheet name="كشف الانتاج" sheetId="1" r:id="rId5"/>
    <sheet name="المناقلات" sheetId="5" r:id="rId6"/>
    <sheet name="فروق الاسعار" sheetId="14" r:id="rId7"/>
    <sheet name="التقرير النهائى العام" sheetId="11" r:id="rId8"/>
  </sheets>
  <externalReferences>
    <externalReference r:id="rId9"/>
  </externalReferences>
  <definedNames>
    <definedName name="_xlnm.Print_Area" localSheetId="0">backend!$A$1:$J$43</definedName>
    <definedName name="_xlnm.Print_Area" localSheetId="7">'التقرير النهائى العام'!$A$1:$D$49</definedName>
    <definedName name="_xlnm.Print_Area" localSheetId="5">المناقلات!$A$1:$G$11</definedName>
    <definedName name="_xlnm.Print_Area" localSheetId="1">'عداد الخلفات'!$A$1:$O$111</definedName>
    <definedName name="_xlnm.Print_Area" localSheetId="2">'عداد النازل'!$A$1:$W$31</definedName>
    <definedName name="_xlnm.Print_Area" localSheetId="6">'فروق الاسعار'!$A$1:$H$124</definedName>
    <definedName name="_xlnm.Print_Area" localSheetId="4">'كشف الانتاج'!$A$1:$Y$38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1" l="1"/>
  <c r="B21" i="11"/>
  <c r="B19" i="11"/>
  <c r="B17" i="11"/>
  <c r="B15" i="11"/>
  <c r="B13" i="11"/>
  <c r="B11" i="11"/>
  <c r="B9" i="11"/>
  <c r="B7" i="11"/>
  <c r="B6" i="11"/>
  <c r="B5" i="11"/>
  <c r="B4" i="11"/>
  <c r="B3" i="11"/>
  <c r="C59" i="7"/>
  <c r="B111" i="6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D3" i="1"/>
  <c r="D2" i="1"/>
  <c r="D1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E2" i="5"/>
  <c r="E3" i="5"/>
  <c r="E4" i="5"/>
  <c r="E5" i="5"/>
  <c r="E6" i="5"/>
  <c r="E7" i="5"/>
  <c r="E8" i="5"/>
  <c r="E9" i="5"/>
  <c r="E10" i="5"/>
  <c r="E11" i="5"/>
  <c r="C2" i="5"/>
  <c r="C3" i="5"/>
  <c r="C4" i="5"/>
  <c r="C5" i="5"/>
  <c r="C6" i="5"/>
  <c r="C7" i="5"/>
  <c r="C8" i="5"/>
  <c r="C9" i="5"/>
  <c r="C10" i="5"/>
  <c r="C11" i="5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G14" i="1"/>
  <c r="G21" i="1"/>
  <c r="G28" i="1"/>
  <c r="G11" i="1"/>
  <c r="G10" i="1"/>
  <c r="G31" i="1"/>
  <c r="G20" i="1"/>
  <c r="G27" i="1"/>
  <c r="G34" i="1"/>
  <c r="G12" i="1"/>
  <c r="G19" i="1"/>
  <c r="G33" i="1"/>
  <c r="G25" i="1"/>
  <c r="G24" i="1"/>
  <c r="G26" i="1"/>
  <c r="G32" i="1"/>
  <c r="G9" i="1"/>
  <c r="G16" i="1"/>
  <c r="G23" i="1"/>
  <c r="G30" i="1"/>
  <c r="G37" i="1"/>
  <c r="G35" i="1"/>
  <c r="G8" i="1"/>
  <c r="G15" i="1"/>
  <c r="G22" i="1"/>
  <c r="G29" i="1"/>
  <c r="G36" i="1"/>
  <c r="G13" i="1"/>
  <c r="G18" i="1"/>
  <c r="G17" i="1"/>
  <c r="J17" i="1" l="1"/>
  <c r="K17" i="1" s="1"/>
  <c r="J18" i="1"/>
  <c r="K18" i="1" s="1"/>
  <c r="J13" i="1"/>
  <c r="K13" i="1" s="1"/>
  <c r="J36" i="1"/>
  <c r="K36" i="1" s="1"/>
  <c r="J29" i="1"/>
  <c r="K29" i="1" s="1"/>
  <c r="J22" i="1"/>
  <c r="K22" i="1" s="1"/>
  <c r="J15" i="1"/>
  <c r="K15" i="1" s="1"/>
  <c r="J8" i="1"/>
  <c r="K8" i="1" s="1"/>
  <c r="J35" i="1"/>
  <c r="K35" i="1" s="1"/>
  <c r="J37" i="1"/>
  <c r="K37" i="1" s="1"/>
  <c r="J30" i="1"/>
  <c r="K30" i="1" s="1"/>
  <c r="J23" i="1"/>
  <c r="K23" i="1" s="1"/>
  <c r="J16" i="1"/>
  <c r="K16" i="1" s="1"/>
  <c r="J9" i="1"/>
  <c r="K9" i="1" s="1"/>
  <c r="J32" i="1"/>
  <c r="K32" i="1" s="1"/>
  <c r="J26" i="1"/>
  <c r="K26" i="1" s="1"/>
  <c r="J24" i="1"/>
  <c r="K24" i="1" s="1"/>
  <c r="J25" i="1"/>
  <c r="K25" i="1" s="1"/>
  <c r="J33" i="1"/>
  <c r="K33" i="1" s="1"/>
  <c r="J19" i="1"/>
  <c r="K19" i="1" s="1"/>
  <c r="J12" i="1"/>
  <c r="K12" i="1" s="1"/>
  <c r="J34" i="1"/>
  <c r="K34" i="1" s="1"/>
  <c r="J27" i="1"/>
  <c r="K27" i="1" s="1"/>
  <c r="J20" i="1"/>
  <c r="K20" i="1" s="1"/>
  <c r="J31" i="1"/>
  <c r="K31" i="1" s="1"/>
  <c r="J10" i="1"/>
  <c r="K10" i="1" s="1"/>
  <c r="J11" i="1"/>
  <c r="K11" i="1" s="1"/>
  <c r="J28" i="1"/>
  <c r="K28" i="1" s="1"/>
  <c r="J21" i="1"/>
  <c r="K21" i="1" s="1"/>
  <c r="J14" i="1"/>
  <c r="K14" i="1" s="1"/>
  <c r="V29" i="1" l="1"/>
  <c r="W29" i="1" s="1"/>
  <c r="V37" i="1"/>
  <c r="W37" i="1" s="1"/>
  <c r="V34" i="1"/>
  <c r="W34" i="1" s="1"/>
  <c r="V14" i="1"/>
  <c r="W14" i="1" s="1"/>
  <c r="V21" i="1"/>
  <c r="W21" i="1" s="1"/>
  <c r="V20" i="1"/>
  <c r="W20" i="1" s="1"/>
  <c r="V22" i="1"/>
  <c r="W22" i="1" s="1"/>
  <c r="V17" i="1"/>
  <c r="W17" i="1" s="1"/>
  <c r="V27" i="1"/>
  <c r="W27" i="1" s="1"/>
  <c r="V24" i="1"/>
  <c r="W24" i="1" s="1"/>
  <c r="V16" i="1"/>
  <c r="W16" i="1" s="1"/>
  <c r="V30" i="1"/>
  <c r="W30" i="1" s="1"/>
  <c r="V31" i="1"/>
  <c r="W31" i="1" s="1"/>
  <c r="V25" i="1"/>
  <c r="W25" i="1" s="1"/>
  <c r="V11" i="1"/>
  <c r="W11" i="1" s="1"/>
  <c r="V10" i="1"/>
  <c r="W10" i="1" s="1"/>
  <c r="V23" i="1"/>
  <c r="W23" i="1" s="1"/>
  <c r="V13" i="1"/>
  <c r="W13" i="1" s="1"/>
  <c r="V35" i="1"/>
  <c r="W35" i="1" s="1"/>
  <c r="V32" i="1"/>
  <c r="W32" i="1" s="1"/>
  <c r="V12" i="1"/>
  <c r="W12" i="1" s="1"/>
  <c r="V36" i="1"/>
  <c r="W36" i="1" s="1"/>
  <c r="V8" i="1"/>
  <c r="W8" i="1" s="1"/>
  <c r="V15" i="1"/>
  <c r="W15" i="1" s="1"/>
  <c r="V28" i="1"/>
  <c r="W28" i="1" s="1"/>
  <c r="V9" i="1"/>
  <c r="W9" i="1" s="1"/>
  <c r="V19" i="1"/>
  <c r="W19" i="1" s="1"/>
  <c r="V26" i="1"/>
  <c r="W26" i="1" s="1"/>
  <c r="V33" i="1"/>
  <c r="W33" i="1" s="1"/>
  <c r="V18" i="1"/>
  <c r="W18" i="1" s="1"/>
  <c r="D271" i="7"/>
  <c r="D5" i="1" l="1"/>
  <c r="E271" i="7" l="1"/>
  <c r="B37" i="6" l="1"/>
  <c r="C37" i="6"/>
  <c r="D37" i="6"/>
  <c r="E37" i="6"/>
  <c r="G37" i="6"/>
  <c r="H37" i="6"/>
  <c r="I37" i="6"/>
  <c r="J37" i="6"/>
  <c r="K37" i="6"/>
  <c r="L37" i="6"/>
  <c r="M37" i="6"/>
  <c r="N37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G13" i="9" l="1"/>
  <c r="G14" i="9"/>
  <c r="G15" i="9"/>
  <c r="G16" i="9"/>
  <c r="G17" i="9"/>
  <c r="G18" i="9"/>
  <c r="G19" i="9"/>
  <c r="G20" i="9"/>
  <c r="H20" i="9" s="1"/>
  <c r="G21" i="9"/>
  <c r="G22" i="9"/>
  <c r="G23" i="9"/>
  <c r="G24" i="9"/>
  <c r="G25" i="9"/>
  <c r="G26" i="9"/>
  <c r="H26" i="9" s="1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V18" i="8"/>
  <c r="H21" i="9"/>
  <c r="H27" i="9"/>
  <c r="U18" i="8" l="1"/>
  <c r="L24" i="1" s="1"/>
  <c r="M24" i="1" s="1"/>
  <c r="D5" i="11" l="1"/>
  <c r="D6" i="11"/>
  <c r="D4" i="11"/>
  <c r="D3" i="11"/>
  <c r="C111" i="6" l="1"/>
  <c r="G41" i="9" l="1"/>
  <c r="G12" i="9"/>
  <c r="G11" i="9"/>
  <c r="G10" i="9"/>
  <c r="G9" i="9"/>
  <c r="G8" i="9"/>
  <c r="G7" i="9"/>
  <c r="G6" i="9"/>
  <c r="G5" i="9"/>
  <c r="G4" i="9"/>
  <c r="G3" i="9"/>
  <c r="M4" i="9" l="1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" i="9"/>
  <c r="H1" i="14" l="1"/>
  <c r="D23" i="11" s="1"/>
  <c r="B31" i="8" l="1"/>
  <c r="C31" i="8" s="1"/>
  <c r="B30" i="8"/>
  <c r="C30" i="8" s="1"/>
  <c r="B29" i="8"/>
  <c r="B28" i="8"/>
  <c r="C28" i="8" s="1"/>
  <c r="B27" i="8"/>
  <c r="B26" i="8"/>
  <c r="B25" i="8"/>
  <c r="C25" i="8" s="1"/>
  <c r="B24" i="8"/>
  <c r="C24" i="8" s="1"/>
  <c r="B23" i="8"/>
  <c r="B22" i="8"/>
  <c r="C22" i="8" s="1"/>
  <c r="B21" i="8"/>
  <c r="B20" i="8"/>
  <c r="B19" i="8"/>
  <c r="B17" i="8"/>
  <c r="C17" i="8" s="1"/>
  <c r="B16" i="8"/>
  <c r="B15" i="8"/>
  <c r="C15" i="8" s="1"/>
  <c r="B14" i="8"/>
  <c r="B13" i="8"/>
  <c r="B12" i="8"/>
  <c r="C12" i="8" s="1"/>
  <c r="B11" i="8"/>
  <c r="C11" i="8" s="1"/>
  <c r="B10" i="8"/>
  <c r="B9" i="8"/>
  <c r="B8" i="8"/>
  <c r="B7" i="8"/>
  <c r="C7" i="8" s="1"/>
  <c r="B6" i="8"/>
  <c r="C6" i="8" s="1"/>
  <c r="B5" i="8"/>
  <c r="B4" i="8"/>
  <c r="B3" i="8"/>
  <c r="C3" i="8" s="1"/>
  <c r="B2" i="8"/>
  <c r="V12" i="8"/>
  <c r="V24" i="8"/>
  <c r="V20" i="8"/>
  <c r="V28" i="8"/>
  <c r="V25" i="8"/>
  <c r="V11" i="8"/>
  <c r="V7" i="8"/>
  <c r="V3" i="8"/>
  <c r="V26" i="8"/>
  <c r="V29" i="8"/>
  <c r="V13" i="8"/>
  <c r="V22" i="8"/>
  <c r="V4" i="8"/>
  <c r="V21" i="8"/>
  <c r="V31" i="8"/>
  <c r="V30" i="8"/>
  <c r="V15" i="8"/>
  <c r="V8" i="8"/>
  <c r="V5" i="8"/>
  <c r="V2" i="8"/>
  <c r="V16" i="8"/>
  <c r="V19" i="8"/>
  <c r="V27" i="8"/>
  <c r="V9" i="8"/>
  <c r="V14" i="8"/>
  <c r="V23" i="8"/>
  <c r="V10" i="8"/>
  <c r="V6" i="8"/>
  <c r="V17" i="8"/>
  <c r="U5" i="8" l="1"/>
  <c r="C5" i="8"/>
  <c r="U2" i="8"/>
  <c r="L8" i="1" s="1"/>
  <c r="M8" i="1" s="1"/>
  <c r="C4" i="8"/>
  <c r="C16" i="8"/>
  <c r="C23" i="8"/>
  <c r="C29" i="8"/>
  <c r="C13" i="8"/>
  <c r="C20" i="8"/>
  <c r="C26" i="8"/>
  <c r="C8" i="8"/>
  <c r="C14" i="8"/>
  <c r="C21" i="8"/>
  <c r="C27" i="8"/>
  <c r="C10" i="8"/>
  <c r="C2" i="8"/>
  <c r="D7" i="11" l="1"/>
  <c r="U20" i="8"/>
  <c r="L26" i="1" s="1"/>
  <c r="M26" i="1" s="1"/>
  <c r="U31" i="8"/>
  <c r="L37" i="1" s="1"/>
  <c r="M37" i="1" s="1"/>
  <c r="U30" i="8"/>
  <c r="L36" i="1" s="1"/>
  <c r="M36" i="1" s="1"/>
  <c r="U29" i="8"/>
  <c r="L35" i="1" s="1"/>
  <c r="M35" i="1" s="1"/>
  <c r="U28" i="8"/>
  <c r="L34" i="1" s="1"/>
  <c r="M34" i="1" s="1"/>
  <c r="U27" i="8"/>
  <c r="U26" i="8"/>
  <c r="L32" i="1" s="1"/>
  <c r="M32" i="1" s="1"/>
  <c r="U25" i="8"/>
  <c r="U24" i="8"/>
  <c r="L30" i="1" s="1"/>
  <c r="M30" i="1" s="1"/>
  <c r="U23" i="8"/>
  <c r="L29" i="1" s="1"/>
  <c r="M29" i="1" s="1"/>
  <c r="U22" i="8"/>
  <c r="L28" i="1" s="1"/>
  <c r="M28" i="1" s="1"/>
  <c r="U21" i="8"/>
  <c r="L27" i="1" s="1"/>
  <c r="M27" i="1" s="1"/>
  <c r="U19" i="8"/>
  <c r="U17" i="8"/>
  <c r="U16" i="8"/>
  <c r="U15" i="8"/>
  <c r="L21" i="1" s="1"/>
  <c r="M21" i="1" s="1"/>
  <c r="U14" i="8"/>
  <c r="U13" i="8"/>
  <c r="U12" i="8"/>
  <c r="L18" i="1" s="1"/>
  <c r="M18" i="1" s="1"/>
  <c r="U11" i="8"/>
  <c r="L17" i="1" s="1"/>
  <c r="M17" i="1" s="1"/>
  <c r="U10" i="8"/>
  <c r="L16" i="1" s="1"/>
  <c r="M16" i="1" s="1"/>
  <c r="U9" i="8"/>
  <c r="U8" i="8"/>
  <c r="U7" i="8"/>
  <c r="U6" i="8"/>
  <c r="U4" i="8"/>
  <c r="U3" i="8"/>
  <c r="L31" i="1" l="1"/>
  <c r="M31" i="1" s="1"/>
  <c r="W18" i="8"/>
  <c r="L25" i="1"/>
  <c r="M25" i="1" s="1"/>
  <c r="L33" i="1"/>
  <c r="M33" i="1" s="1"/>
  <c r="L20" i="1"/>
  <c r="M20" i="1" s="1"/>
  <c r="L19" i="1"/>
  <c r="M19" i="1" s="1"/>
  <c r="H3" i="9"/>
  <c r="O3" i="9" s="1"/>
  <c r="H4" i="9"/>
  <c r="O4" i="9" s="1"/>
  <c r="H5" i="9"/>
  <c r="O5" i="9" s="1"/>
  <c r="H6" i="9"/>
  <c r="O6" i="9" s="1"/>
  <c r="H7" i="9"/>
  <c r="O7" i="9" s="1"/>
  <c r="H8" i="9"/>
  <c r="O8" i="9" s="1"/>
  <c r="H9" i="9"/>
  <c r="O9" i="9" s="1"/>
  <c r="H10" i="9"/>
  <c r="O10" i="9" s="1"/>
  <c r="H11" i="9"/>
  <c r="O11" i="9" s="1"/>
  <c r="H12" i="9"/>
  <c r="O12" i="9" s="1"/>
  <c r="H13" i="9"/>
  <c r="O13" i="9" s="1"/>
  <c r="H14" i="9"/>
  <c r="O14" i="9" s="1"/>
  <c r="H15" i="9"/>
  <c r="O15" i="9" s="1"/>
  <c r="H16" i="9"/>
  <c r="O16" i="9" s="1"/>
  <c r="H17" i="9"/>
  <c r="O17" i="9" s="1"/>
  <c r="H18" i="9"/>
  <c r="O18" i="9" s="1"/>
  <c r="H19" i="9"/>
  <c r="O19" i="9" s="1"/>
  <c r="O21" i="9"/>
  <c r="H22" i="9"/>
  <c r="O22" i="9" s="1"/>
  <c r="H23" i="9"/>
  <c r="O23" i="9" s="1"/>
  <c r="H24" i="9"/>
  <c r="O24" i="9" s="1"/>
  <c r="H25" i="9"/>
  <c r="O25" i="9" s="1"/>
  <c r="O27" i="9"/>
  <c r="H28" i="9"/>
  <c r="O28" i="9" s="1"/>
  <c r="H29" i="9"/>
  <c r="O29" i="9" s="1"/>
  <c r="H30" i="9"/>
  <c r="O30" i="9" s="1"/>
  <c r="H31" i="9"/>
  <c r="O31" i="9" s="1"/>
  <c r="H32" i="9"/>
  <c r="H33" i="9"/>
  <c r="H34" i="9"/>
  <c r="H35" i="9"/>
  <c r="H36" i="9"/>
  <c r="H37" i="9"/>
  <c r="H38" i="9"/>
  <c r="H39" i="9"/>
  <c r="H40" i="9"/>
  <c r="H41" i="9"/>
  <c r="O26" i="9" l="1"/>
  <c r="O20" i="9"/>
  <c r="Q38" i="1" l="1"/>
  <c r="D13" i="11" s="1"/>
  <c r="O38" i="1"/>
  <c r="D11" i="11" s="1"/>
  <c r="U38" i="1"/>
  <c r="L9" i="1"/>
  <c r="M9" i="1" s="1"/>
  <c r="L10" i="1"/>
  <c r="M10" i="1" s="1"/>
  <c r="L11" i="1"/>
  <c r="M11" i="1" s="1"/>
  <c r="L12" i="1"/>
  <c r="M12" i="1" s="1"/>
  <c r="L15" i="1"/>
  <c r="M15" i="1" s="1"/>
  <c r="L22" i="1"/>
  <c r="M22" i="1" s="1"/>
  <c r="L23" i="1"/>
  <c r="M23" i="1" s="1"/>
  <c r="L14" i="1"/>
  <c r="M14" i="1" s="1"/>
  <c r="L13" i="1"/>
  <c r="M13" i="1" s="1"/>
  <c r="C3" i="9"/>
  <c r="W26" i="8" l="1"/>
  <c r="W13" i="8"/>
  <c r="W25" i="8"/>
  <c r="W19" i="8"/>
  <c r="W4" i="8"/>
  <c r="W30" i="8"/>
  <c r="W17" i="8"/>
  <c r="W3" i="8"/>
  <c r="W29" i="8"/>
  <c r="W23" i="8"/>
  <c r="W16" i="8"/>
  <c r="W10" i="8"/>
  <c r="W8" i="8"/>
  <c r="W20" i="8"/>
  <c r="W5" i="8"/>
  <c r="W31" i="8"/>
  <c r="W12" i="8"/>
  <c r="W24" i="8"/>
  <c r="W11" i="8"/>
  <c r="W28" i="8"/>
  <c r="W22" i="8"/>
  <c r="W15" i="8"/>
  <c r="W9" i="8"/>
  <c r="W7" i="8"/>
  <c r="W27" i="8"/>
  <c r="W21" i="8"/>
  <c r="W14" i="8"/>
  <c r="W6" i="8"/>
  <c r="N111" i="6"/>
  <c r="M111" i="6"/>
  <c r="L111" i="6"/>
  <c r="K111" i="6"/>
  <c r="J111" i="6"/>
  <c r="I111" i="6"/>
  <c r="H111" i="6"/>
  <c r="G111" i="6"/>
  <c r="F111" i="6"/>
  <c r="E111" i="6"/>
  <c r="D111" i="6"/>
  <c r="S38" i="1"/>
  <c r="D15" i="11" s="1"/>
  <c r="K38" i="1"/>
  <c r="D9" i="11" s="1"/>
  <c r="Y38" i="1"/>
  <c r="D21" i="11" s="1"/>
  <c r="D25" i="11" l="1"/>
  <c r="W2" i="8"/>
  <c r="W38" i="1"/>
  <c r="D19" i="11" s="1"/>
  <c r="F3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DWS</author>
  </authors>
  <commentList>
    <comment ref="C2" authorId="0" shapeId="0" xr:uid="{F71413C8-B135-45D0-8771-D41347268485}">
      <text>
        <r>
          <rPr>
            <b/>
            <sz val="9"/>
            <color indexed="81"/>
            <rFont val="Tahoma"/>
            <family val="2"/>
          </rPr>
          <t>DWS:</t>
        </r>
        <r>
          <rPr>
            <sz val="9"/>
            <color indexed="81"/>
            <rFont val="Tahoma"/>
            <family val="2"/>
          </rPr>
          <t xml:space="preserve">
it depends on the main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DWS</author>
  </authors>
  <commentList>
    <comment ref="E6" authorId="0" shapeId="0" xr:uid="{7569B7C6-A5DE-4CE9-91D2-58F56E01379F}">
      <text>
        <r>
          <rPr>
            <b/>
            <sz val="9"/>
            <color indexed="81"/>
            <rFont val="Tahoma"/>
            <family val="2"/>
          </rPr>
          <t>DWS:</t>
        </r>
        <r>
          <rPr>
            <sz val="9"/>
            <color indexed="81"/>
            <rFont val="Tahoma"/>
            <family val="2"/>
          </rPr>
          <t xml:space="preserve">
هي العملية التي تمر من العجين الى النازل الى التجهيز بعد التعبئة</t>
        </r>
      </text>
    </comment>
    <comment ref="L7" authorId="0" shapeId="0" xr:uid="{D3155B26-42ED-464A-A4E1-BCEE8F0A1824}">
      <text>
        <r>
          <rPr>
            <b/>
            <sz val="9"/>
            <color indexed="81"/>
            <rFont val="Tahoma"/>
            <family val="2"/>
          </rPr>
          <t>DWS:</t>
        </r>
        <r>
          <rPr>
            <sz val="9"/>
            <color indexed="81"/>
            <rFont val="Tahoma"/>
            <family val="2"/>
          </rPr>
          <t xml:space="preserve">
اجمالي الكمية النازلة للتجهيز</t>
        </r>
      </text>
    </comment>
    <comment ref="F8" authorId="0" shapeId="0" xr:uid="{366E6433-15EE-4F34-8D73-088898D86B43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سحب من انتاج 27
</t>
        </r>
      </text>
    </comment>
    <comment ref="H8" authorId="0" shapeId="0" xr:uid="{411D657E-AC41-457A-897D-E2D2CFEC3E6C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1373 نقص الصواني
240 فرق الصواني عن الخلفات</t>
        </r>
      </text>
    </comment>
    <comment ref="X8" authorId="0" shapeId="0" xr:uid="{EF48FBF2-1848-44E1-8AA3-40E1597CED20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تلف</t>
        </r>
      </text>
    </comment>
    <comment ref="F10" authorId="0" shapeId="0" xr:uid="{CFBA3E47-F8AE-4C20-B5EF-FB27D4753FD2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سحب من انتاج 27</t>
        </r>
      </text>
    </comment>
    <comment ref="X10" authorId="0" shapeId="0" xr:uid="{27511F7D-58C8-46AA-952B-A2128B062011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تلف</t>
        </r>
      </text>
    </comment>
    <comment ref="F11" authorId="0" shapeId="0" xr:uid="{9E93DBA1-CFB6-4B05-B1A0-38B8FD1C3B31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سحب من انتاج 27</t>
        </r>
      </text>
    </comment>
    <comment ref="X11" authorId="0" shapeId="0" xr:uid="{370C3151-A450-47DD-A4E4-A9EEA2C1C171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تلف</t>
        </r>
      </text>
    </comment>
    <comment ref="X12" authorId="0" shapeId="0" xr:uid="{6FFD9C9B-59A1-49C6-83B5-6B535AFF2B0D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تلف</t>
        </r>
      </text>
    </comment>
    <comment ref="X14" authorId="0" shapeId="0" xr:uid="{6BAF3324-6F39-4D7B-ADF5-2C0EE9D08ADD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تلف 30</t>
        </r>
      </text>
    </comment>
    <comment ref="X15" authorId="0" shapeId="0" xr:uid="{61225103-EB81-457F-A1AB-4E8FF0B4E5CC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تلف</t>
        </r>
      </text>
    </comment>
    <comment ref="X22" authorId="0" shapeId="0" xr:uid="{362A0159-6A5E-4159-9FFA-98B485559CFD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18 تلف</t>
        </r>
      </text>
    </comment>
    <comment ref="F23" authorId="0" shapeId="0" xr:uid="{6558300B-E4E6-4E35-8CCA-F5EB35E0BBCC}">
      <text>
        <r>
          <rPr>
            <b/>
            <sz val="9"/>
            <color indexed="81"/>
            <rFont val="Tahoma"/>
            <charset val="178"/>
          </rPr>
          <t>DWS:</t>
        </r>
        <r>
          <rPr>
            <sz val="9"/>
            <color indexed="81"/>
            <rFont val="Tahoma"/>
            <charset val="178"/>
          </rPr>
          <t xml:space="preserve">
فرق الصواني عن الخلفات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DWS</author>
  </authors>
  <commentList>
    <comment ref="C1" authorId="0" shapeId="0" xr:uid="{9C305F50-1C62-4392-B072-61578A5D6838}">
      <text>
        <r>
          <rPr>
            <b/>
            <sz val="9"/>
            <color indexed="81"/>
            <rFont val="Tahoma"/>
            <family val="2"/>
          </rPr>
          <t>DWS:</t>
        </r>
        <r>
          <rPr>
            <sz val="9"/>
            <color indexed="81"/>
            <rFont val="Tahoma"/>
            <family val="2"/>
          </rPr>
          <t xml:space="preserve">
من المادة</t>
        </r>
      </text>
    </comment>
    <comment ref="E1" authorId="0" shapeId="0" xr:uid="{D77BA5C1-780D-4E2C-A9F7-2546A82CC47D}">
      <text>
        <r>
          <rPr>
            <b/>
            <sz val="9"/>
            <color indexed="81"/>
            <rFont val="Tahoma"/>
            <family val="2"/>
          </rPr>
          <t>DWS:</t>
        </r>
        <r>
          <rPr>
            <sz val="9"/>
            <color indexed="81"/>
            <rFont val="Tahoma"/>
            <family val="2"/>
          </rPr>
          <t xml:space="preserve">
الى المادة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7" authorId="0" shapeId="0" xr:uid="{9FC4A2B7-54FB-4D6C-9BD0-70FEE21D9130}">
      <text>
        <r>
          <rPr>
            <b/>
            <sz val="9"/>
            <color indexed="81"/>
            <rFont val="Tahoma"/>
            <family val="2"/>
          </rPr>
          <t>من كشف تتبع الديون 
اجمالي مبيعات اليوم</t>
        </r>
      </text>
    </comment>
    <comment ref="B27" authorId="0" shapeId="0" xr:uid="{2BD40670-2DB6-4CB3-8154-45FAC83512E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ان وجد نقد غير مرسل الى المركزية يتم كتابته هنا 
</t>
        </r>
      </text>
    </comment>
    <comment ref="B29" authorId="0" shapeId="0" xr:uid="{95775BA4-8602-4BDB-A43D-3A6D1B99BF9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من كشف تتبع الديون (اجمالي ديون امس)
اول مبلغ بالكشف من جهة اليمين</t>
        </r>
      </text>
    </comment>
    <comment ref="B31" authorId="0" shapeId="0" xr:uid="{2FC53E37-A62A-4CB5-9579-4E23D7F235B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من كشف تتبع الديون المبيعات الجديدة (المبيعات)</t>
        </r>
      </text>
    </comment>
    <comment ref="B33" authorId="0" shapeId="0" xr:uid="{0AC20C84-9839-485C-A55C-8082F6FFF18D}">
      <text>
        <r>
          <rPr>
            <b/>
            <sz val="9"/>
            <color indexed="81"/>
            <rFont val="Tahoma"/>
            <family val="2"/>
          </rPr>
          <t xml:space="preserve">من كشف تتبع الديون (الدفعات) قبل اخر حقل
النقد الكلي بدون ماتنقص منه الصرفيات
</t>
        </r>
      </text>
    </comment>
    <comment ref="B35" authorId="0" shapeId="0" xr:uid="{01C7C53A-6438-4633-A998-7B06A70F7B31}">
      <text>
        <r>
          <rPr>
            <b/>
            <sz val="9"/>
            <color indexed="81"/>
            <rFont val="Tahoma"/>
            <family val="2"/>
          </rPr>
          <t>من كشف تتبع الديون 
الرصيد النهائي 
اخر حقل بالكشف</t>
        </r>
      </text>
    </comment>
    <comment ref="B37" authorId="0" shapeId="0" xr:uid="{BB44AD41-B8F2-43AF-933D-93744B82F15F}">
      <text>
        <r>
          <rPr>
            <b/>
            <sz val="9"/>
            <color indexed="81"/>
            <rFont val="Tahoma"/>
            <family val="2"/>
          </rPr>
          <t xml:space="preserve">من كشف الحساب 
تستخرج اجور النقل الاجمالي وتكتب هنا
</t>
        </r>
      </text>
    </comment>
    <comment ref="B39" authorId="0" shapeId="0" xr:uid="{03825097-39F9-4F88-B0E9-61D508C6D13C}">
      <text>
        <r>
          <rPr>
            <b/>
            <sz val="9"/>
            <color indexed="81"/>
            <rFont val="Tahoma"/>
            <family val="2"/>
          </rPr>
          <t xml:space="preserve">مبيعات المسحوق من البيان وكذلك ان وجد مبيعات معجنات للمطاعم تكتب قيمتها
</t>
        </r>
      </text>
    </comment>
    <comment ref="B41" authorId="0" shapeId="0" xr:uid="{00C10C3B-FE44-465A-AEC4-2075CF1CF9DC}">
      <text>
        <r>
          <rPr>
            <b/>
            <sz val="9"/>
            <color indexed="81"/>
            <rFont val="Tahoma"/>
            <family val="2"/>
          </rPr>
          <t xml:space="preserve">من تقارير محاسبية 
كشف ايصالات الدفع 
تكتب المبلغ الاجمالي
</t>
        </r>
      </text>
    </comment>
    <comment ref="B43" authorId="0" shapeId="0" xr:uid="{DA8A13C3-F755-467A-B7B6-52414C12C055}">
      <text>
        <r>
          <rPr>
            <b/>
            <sz val="9"/>
            <color indexed="81"/>
            <rFont val="Tahoma"/>
            <family val="2"/>
          </rPr>
          <t>دخل المعرض الكلي لنفس اليوم من كشف زبون نقدي 
والبيع يجب ان يكون على الباركود والبيان فقط</t>
        </r>
      </text>
    </comment>
    <comment ref="B45" authorId="0" shapeId="0" xr:uid="{21642613-1427-44E2-B8D0-56D44D4D5137}">
      <text>
        <r>
          <rPr>
            <b/>
            <sz val="9"/>
            <color indexed="81"/>
            <rFont val="Tahoma"/>
            <family val="2"/>
          </rPr>
          <t xml:space="preserve">النقد الكلي السابق ان وجد مع نقد اليوم </t>
        </r>
      </text>
    </comment>
    <comment ref="B47" authorId="0" shapeId="0" xr:uid="{87FA22AB-1112-4357-8751-979186491ECB}">
      <text>
        <r>
          <rPr>
            <b/>
            <sz val="9"/>
            <color indexed="81"/>
            <rFont val="Tahoma"/>
            <family val="2"/>
          </rPr>
          <t xml:space="preserve">تكتب المبلغ الكلي الموجود عندك وتعتبرة مرحل وبتم خزنة لحين توصيلة للمركزية في نفس اليوم او باليوم التالي صباحا مع كافة الاوليات والمصادر من البيان </t>
        </r>
      </text>
    </comment>
    <comment ref="B49" authorId="0" shapeId="0" xr:uid="{1191D7D4-3EF7-49C6-A850-78049955CBC4}">
      <text>
        <r>
          <rPr>
            <b/>
            <sz val="9"/>
            <color indexed="81"/>
            <rFont val="Tahoma"/>
            <family val="2"/>
          </rPr>
          <t xml:space="preserve">المتبقي بعد ترحيل المبلغ ان وجد
</t>
        </r>
      </text>
    </comment>
  </commentList>
</comments>
</file>

<file path=xl/sharedStrings.xml><?xml version="1.0" encoding="utf-8"?>
<sst xmlns="http://schemas.openxmlformats.org/spreadsheetml/2006/main" count="357" uniqueCount="131">
  <si>
    <t>ت</t>
  </si>
  <si>
    <t>السعر</t>
  </si>
  <si>
    <t>خط الانتاج</t>
  </si>
  <si>
    <t>قيمة التلف اليومى</t>
  </si>
  <si>
    <t>قيمة متبقى انتاج اليوم</t>
  </si>
  <si>
    <t>شفت المسائي</t>
  </si>
  <si>
    <t>شفت الطوارئ</t>
  </si>
  <si>
    <t>المناقلات</t>
  </si>
  <si>
    <t>نقص الصواني بعد الخبز</t>
  </si>
  <si>
    <t>اكل عمال</t>
  </si>
  <si>
    <t>اجمالى الكمية</t>
  </si>
  <si>
    <t>قيمة الانتاج اليومى</t>
  </si>
  <si>
    <t>نازل</t>
  </si>
  <si>
    <t>الفرق عن النازل عند الخلفات</t>
  </si>
  <si>
    <t>كمية المتبقى امس</t>
  </si>
  <si>
    <t>قيمة المتبقى امس</t>
  </si>
  <si>
    <t>كمية الوارد فروع</t>
  </si>
  <si>
    <t>قيمة الوارد فروع</t>
  </si>
  <si>
    <t>كمية التلف اليومى</t>
  </si>
  <si>
    <t>كمية المبيعات اليومية</t>
  </si>
  <si>
    <t>قيمة المبيعات اليومية</t>
  </si>
  <si>
    <t>فرق الانتاج (المفقود)</t>
  </si>
  <si>
    <t>قيمة فرق الانتاج</t>
  </si>
  <si>
    <t>متبقي انتاج اليوم</t>
  </si>
  <si>
    <t>رمز المادة</t>
  </si>
  <si>
    <t>معلومات عن المادة</t>
  </si>
  <si>
    <t>الوارد</t>
  </si>
  <si>
    <t>التلف</t>
  </si>
  <si>
    <t>المبيعات</t>
  </si>
  <si>
    <t>فرق الانتاج</t>
  </si>
  <si>
    <t>متبقي اليوم</t>
  </si>
  <si>
    <t>متبقي امس</t>
  </si>
  <si>
    <t>اسم المادة</t>
  </si>
  <si>
    <t>كنتاكي</t>
  </si>
  <si>
    <t>كنتاكي اسمر</t>
  </si>
  <si>
    <t>بركر 14 عادي</t>
  </si>
  <si>
    <t>بركر 14 بوليش</t>
  </si>
  <si>
    <t>بركر 14 بطاطا</t>
  </si>
  <si>
    <t>بركر 13 بطاطا</t>
  </si>
  <si>
    <t>بركر 13 بوليش</t>
  </si>
  <si>
    <t>بركر 13 عادي</t>
  </si>
  <si>
    <t>بركر 10 عادي</t>
  </si>
  <si>
    <t>بركر 10 بطاطا</t>
  </si>
  <si>
    <t>مثلث</t>
  </si>
  <si>
    <t>فلر 26 عادي</t>
  </si>
  <si>
    <t>فلر 26 بوليش</t>
  </si>
  <si>
    <t>فلر 26 سميد</t>
  </si>
  <si>
    <t>دبل باسطون</t>
  </si>
  <si>
    <t>سابوي</t>
  </si>
  <si>
    <t>همام عادي</t>
  </si>
  <si>
    <t>همام مشرح</t>
  </si>
  <si>
    <t>بيبي</t>
  </si>
  <si>
    <t>توست عادي</t>
  </si>
  <si>
    <t>توست بطاطا</t>
  </si>
  <si>
    <t>عيش ابيض</t>
  </si>
  <si>
    <t>عيش اسمر</t>
  </si>
  <si>
    <t>بركر 11</t>
  </si>
  <si>
    <t>باكيت</t>
  </si>
  <si>
    <t>وسط باكيت</t>
  </si>
  <si>
    <t>بركر 13 شعير</t>
  </si>
  <si>
    <t>توست اسمر</t>
  </si>
  <si>
    <t>فلر 26 اسمر</t>
  </si>
  <si>
    <t>اجمالي عمل شفت الكنتاكي</t>
  </si>
  <si>
    <t>اجمالى عمل الدائرى</t>
  </si>
  <si>
    <t>اجمالى عمل الاطوال</t>
  </si>
  <si>
    <t>اجمالي عمل شفت الطوارئ</t>
  </si>
  <si>
    <t>اجمالى العمل الكلى</t>
  </si>
  <si>
    <t>شركة رغيف الكندى</t>
  </si>
  <si>
    <t>كشف الانتاج</t>
  </si>
  <si>
    <t>التاريخ</t>
  </si>
  <si>
    <t>الفرع</t>
  </si>
  <si>
    <t>الكرادة</t>
  </si>
  <si>
    <t>العمل</t>
  </si>
  <si>
    <t>المجموع</t>
  </si>
  <si>
    <t>عدد الصواني</t>
  </si>
  <si>
    <t>عداد النازل من المصعد</t>
  </si>
  <si>
    <t>مجموع</t>
  </si>
  <si>
    <t>فرق</t>
  </si>
  <si>
    <t>مناقلات</t>
  </si>
  <si>
    <t>اسم المادة المصدرة</t>
  </si>
  <si>
    <t>الكمية</t>
  </si>
  <si>
    <t>اسم المادة الورادة</t>
  </si>
  <si>
    <t>ر.م.مصدر</t>
  </si>
  <si>
    <t>ر.م.مستورد</t>
  </si>
  <si>
    <t>Amount</t>
  </si>
  <si>
    <t>Main Name</t>
  </si>
  <si>
    <t>Production Section</t>
  </si>
  <si>
    <t>Product Name</t>
  </si>
  <si>
    <t>Transfer</t>
  </si>
  <si>
    <t>Sells Section</t>
  </si>
  <si>
    <t>Names</t>
  </si>
  <si>
    <t>burger 11</t>
  </si>
  <si>
    <t>humam</t>
  </si>
  <si>
    <t>بركر 11 لحم</t>
  </si>
  <si>
    <t>بركر 11 سمسم</t>
  </si>
  <si>
    <t>همام كرنشي</t>
  </si>
  <si>
    <t>اجره</t>
  </si>
  <si>
    <t xml:space="preserve">                   شركة رغيف الكندى فرع                     </t>
  </si>
  <si>
    <t>الانتاج</t>
  </si>
  <si>
    <t xml:space="preserve">فرق الانتاج </t>
  </si>
  <si>
    <t>الخزينة والمالية</t>
  </si>
  <si>
    <t>نقد القاصه امس(ان وجد بالفرع)</t>
  </si>
  <si>
    <t xml:space="preserve">اجمالي ديون امس </t>
  </si>
  <si>
    <t>اجمالى المبيعات اليومية (البيان)</t>
  </si>
  <si>
    <t>اجمالي متحصلات اليوم (اجمالي نقد اليوم)</t>
  </si>
  <si>
    <t>مديونية نهاية اليوم</t>
  </si>
  <si>
    <t>اجور نقل المندوبين</t>
  </si>
  <si>
    <t>مبيعات مسحوق ومعجنات بالفواتير</t>
  </si>
  <si>
    <t>اجمالى المصروفات اليومية مع اجور النقد</t>
  </si>
  <si>
    <t>صافى متحصلات المعرض الملحق</t>
  </si>
  <si>
    <t>اجمالي نقد قاصة الفرن(المعرض مع الفرن)</t>
  </si>
  <si>
    <t>المرحل الى قاصة المركزية</t>
  </si>
  <si>
    <t>رصيد القاصة بعد الترحيل</t>
  </si>
  <si>
    <t>السعر الاصلي</t>
  </si>
  <si>
    <t>ر.المادة</t>
  </si>
  <si>
    <t>ر. المادة</t>
  </si>
  <si>
    <t>اسم المطعم</t>
  </si>
  <si>
    <t>السعر بعد الخصم</t>
  </si>
  <si>
    <t>فرق السعر</t>
  </si>
  <si>
    <t>مجموع فروق الاسعار</t>
  </si>
  <si>
    <t>الملخص اليومي</t>
  </si>
  <si>
    <t>سلة صغير</t>
  </si>
  <si>
    <t>وسط باسطون</t>
  </si>
  <si>
    <t>.</t>
  </si>
  <si>
    <t>سلة كبير</t>
  </si>
  <si>
    <t>ملاحظات</t>
  </si>
  <si>
    <t>عدد النقص</t>
  </si>
  <si>
    <t>الاجمالي</t>
  </si>
  <si>
    <t>سابوي بوليش</t>
  </si>
  <si>
    <t>اجرة النقل</t>
  </si>
  <si>
    <t>كراتين صغير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</si>
</sst>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&quot;د.ع.‏&quot;_-;\-* #,##0\ &quot;د.ع.‏&quot;_-;_-* &quot;-&quot;\ &quot;د.ع.‏&quot;_-;_-@_-"/>
    <numFmt numFmtId="165" formatCode="_-* #,##0.00\ &quot;د.ع.‏&quot;_-;\-* #,##0.00\ &quot;د.ع.‏&quot;_-;_-* &quot;-&quot;??\ &quot;د.ع.‏&quot;_-;_-@_-"/>
    <numFmt numFmtId="166" formatCode="[$-2010000]yyyy/mm/dd;@"/>
    <numFmt numFmtId="167" formatCode="_-* #,##0.00\ _د_._ع_._‏_-;\-* #,##0.00\ _د_._ع_._‏_-;_-* &quot;-&quot;??\ _د_._ع_._‏_-;_-@_-"/>
    <numFmt numFmtId="168" formatCode="_(* #,##0_);_(* \(#,##0\);_(* &quot;-&quot;??_);_(@_)"/>
    <numFmt numFmtId="169" formatCode="_-* #,##0\ [$د.ع.‏-801]_-;\-* #,##0\ [$د.ع.‏-801]_-;_-* &quot;-&quot;??\ [$د.ع.‏-801]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charset val="178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178"/>
      <scheme val="minor"/>
    </font>
    <font>
      <b/>
      <sz val="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7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charset val="178"/>
      <scheme val="minor"/>
    </font>
    <font>
      <b/>
      <sz val="12"/>
      <color theme="9" tint="-0.249977111117893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charset val="178"/>
    </font>
    <font>
      <b/>
      <sz val="9"/>
      <color indexed="81"/>
      <name val="Tahoma"/>
      <charset val="178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2" fillId="0" borderId="0"/>
    <xf numFmtId="0" fontId="3" fillId="0" borderId="0"/>
    <xf numFmtId="0" fontId="2" fillId="0" borderId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 wrapText="1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4" fillId="0" borderId="3" xfId="1" applyFont="1" applyBorder="1" applyAlignment="1">
      <alignment horizontal="center" vertical="center" textRotation="90"/>
    </xf>
    <xf numFmtId="0" fontId="15" fillId="0" borderId="0" xfId="1" applyFont="1"/>
    <xf numFmtId="0" fontId="16" fillId="0" borderId="3" xfId="1" applyFont="1" applyBorder="1" applyAlignment="1">
      <alignment horizontal="center" vertical="center"/>
    </xf>
    <xf numFmtId="0" fontId="16" fillId="0" borderId="0" xfId="1" applyFont="1"/>
    <xf numFmtId="0" fontId="16" fillId="13" borderId="3" xfId="1" applyFont="1" applyFill="1" applyBorder="1" applyAlignment="1">
      <alignment horizontal="center" vertical="center"/>
    </xf>
    <xf numFmtId="0" fontId="17" fillId="14" borderId="3" xfId="1" applyFont="1" applyFill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20" fillId="0" borderId="0" xfId="2" applyFont="1" applyAlignment="1">
      <alignment horizontal="center" vertical="center" shrinkToFit="1"/>
    </xf>
    <xf numFmtId="0" fontId="20" fillId="15" borderId="3" xfId="2" applyFont="1" applyFill="1" applyBorder="1" applyAlignment="1">
      <alignment horizontal="center" vertical="center" shrinkToFit="1"/>
    </xf>
    <xf numFmtId="0" fontId="20" fillId="16" borderId="3" xfId="2" applyFont="1" applyFill="1" applyBorder="1" applyAlignment="1">
      <alignment horizontal="center" vertical="center" shrinkToFit="1"/>
    </xf>
    <xf numFmtId="0" fontId="20" fillId="17" borderId="3" xfId="2" applyFont="1" applyFill="1" applyBorder="1" applyAlignment="1">
      <alignment horizontal="center" vertical="center" shrinkToFit="1"/>
    </xf>
    <xf numFmtId="0" fontId="16" fillId="12" borderId="3" xfId="1" applyFont="1" applyFill="1" applyBorder="1" applyAlignment="1">
      <alignment horizontal="center" vertical="center"/>
    </xf>
    <xf numFmtId="0" fontId="19" fillId="15" borderId="3" xfId="2" applyFont="1" applyFill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4" fillId="11" borderId="0" xfId="3" applyFont="1" applyFill="1" applyAlignment="1">
      <alignment horizontal="center" vertical="center"/>
    </xf>
    <xf numFmtId="0" fontId="15" fillId="20" borderId="2" xfId="3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19" fillId="20" borderId="3" xfId="3" applyFont="1" applyFill="1" applyBorder="1" applyAlignment="1">
      <alignment horizontal="center" vertical="center"/>
    </xf>
    <xf numFmtId="0" fontId="11" fillId="11" borderId="0" xfId="3" applyFont="1" applyFill="1" applyAlignment="1">
      <alignment horizontal="center" vertical="center"/>
    </xf>
    <xf numFmtId="0" fontId="15" fillId="19" borderId="2" xfId="3" applyFont="1" applyFill="1" applyBorder="1" applyAlignment="1">
      <alignment horizontal="center" vertical="center"/>
    </xf>
    <xf numFmtId="0" fontId="19" fillId="19" borderId="3" xfId="3" applyFont="1" applyFill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9" fillId="11" borderId="0" xfId="3" applyFont="1" applyFill="1" applyAlignment="1">
      <alignment horizontal="center" vertical="center"/>
    </xf>
    <xf numFmtId="0" fontId="15" fillId="19" borderId="3" xfId="3" applyFont="1" applyFill="1" applyBorder="1" applyAlignment="1">
      <alignment horizontal="center" vertical="center"/>
    </xf>
    <xf numFmtId="164" fontId="26" fillId="19" borderId="3" xfId="4" applyNumberFormat="1" applyFont="1" applyFill="1" applyBorder="1" applyAlignment="1">
      <alignment horizontal="center" vertical="center"/>
    </xf>
    <xf numFmtId="168" fontId="19" fillId="0" borderId="0" xfId="4" applyNumberFormat="1" applyFont="1" applyBorder="1" applyAlignment="1">
      <alignment horizontal="center" vertical="center"/>
    </xf>
    <xf numFmtId="164" fontId="26" fillId="19" borderId="3" xfId="5" applyNumberFormat="1" applyFont="1" applyFill="1" applyBorder="1" applyAlignment="1">
      <alignment horizontal="center" vertical="center"/>
    </xf>
    <xf numFmtId="164" fontId="11" fillId="11" borderId="0" xfId="3" applyNumberFormat="1" applyFont="1" applyFill="1" applyAlignment="1">
      <alignment horizontal="center" vertical="center"/>
    </xf>
    <xf numFmtId="169" fontId="26" fillId="19" borderId="3" xfId="4" applyNumberFormat="1" applyFont="1" applyFill="1" applyBorder="1" applyAlignment="1">
      <alignment horizontal="center" vertical="center"/>
    </xf>
    <xf numFmtId="0" fontId="15" fillId="11" borderId="0" xfId="3" applyFont="1" applyFill="1" applyAlignment="1">
      <alignment horizontal="center" vertical="center"/>
    </xf>
    <xf numFmtId="164" fontId="19" fillId="19" borderId="3" xfId="4" applyNumberFormat="1" applyFont="1" applyFill="1" applyBorder="1" applyAlignment="1">
      <alignment horizontal="center" vertical="center"/>
    </xf>
    <xf numFmtId="164" fontId="27" fillId="19" borderId="3" xfId="5" applyNumberFormat="1" applyFont="1" applyFill="1" applyBorder="1" applyAlignment="1">
      <alignment horizontal="center" vertical="center"/>
    </xf>
    <xf numFmtId="0" fontId="28" fillId="21" borderId="0" xfId="3" applyFont="1" applyFill="1" applyAlignment="1">
      <alignment horizontal="center" vertical="center"/>
    </xf>
    <xf numFmtId="0" fontId="29" fillId="21" borderId="0" xfId="3" applyFont="1" applyFill="1" applyAlignment="1">
      <alignment horizontal="center" vertical="center"/>
    </xf>
    <xf numFmtId="0" fontId="30" fillId="21" borderId="0" xfId="3" applyFont="1" applyFill="1" applyAlignment="1">
      <alignment horizontal="center" vertical="center"/>
    </xf>
    <xf numFmtId="168" fontId="30" fillId="21" borderId="0" xfId="4" applyNumberFormat="1" applyFont="1" applyFill="1" applyBorder="1" applyAlignment="1">
      <alignment horizontal="center" vertical="center"/>
    </xf>
    <xf numFmtId="168" fontId="19" fillId="11" borderId="0" xfId="4" applyNumberFormat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shrinkToFit="1"/>
    </xf>
    <xf numFmtId="0" fontId="31" fillId="11" borderId="3" xfId="0" applyFont="1" applyFill="1" applyBorder="1" applyAlignment="1">
      <alignment horizontal="center" vertical="center" shrinkToFit="1"/>
    </xf>
    <xf numFmtId="164" fontId="31" fillId="11" borderId="3" xfId="0" applyNumberFormat="1" applyFont="1" applyFill="1" applyBorder="1" applyAlignment="1">
      <alignment horizontal="center" vertical="center" shrinkToFit="1"/>
    </xf>
    <xf numFmtId="0" fontId="10" fillId="12" borderId="3" xfId="0" applyFont="1" applyFill="1" applyBorder="1" applyAlignment="1">
      <alignment horizontal="center" vertical="center" shrinkToFit="1"/>
    </xf>
    <xf numFmtId="164" fontId="32" fillId="11" borderId="3" xfId="0" applyNumberFormat="1" applyFont="1" applyFill="1" applyBorder="1" applyAlignment="1">
      <alignment horizontal="center" vertical="center" shrinkToFit="1"/>
    </xf>
    <xf numFmtId="0" fontId="10" fillId="11" borderId="2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 textRotation="90" wrapText="1" shrinkToFit="1"/>
    </xf>
    <xf numFmtId="0" fontId="33" fillId="3" borderId="3" xfId="0" applyFont="1" applyFill="1" applyBorder="1" applyAlignment="1">
      <alignment horizontal="center" vertical="center" textRotation="90" wrapText="1" shrinkToFit="1"/>
    </xf>
    <xf numFmtId="164" fontId="33" fillId="3" borderId="3" xfId="0" applyNumberFormat="1" applyFont="1" applyFill="1" applyBorder="1" applyAlignment="1">
      <alignment horizontal="center" vertical="center" textRotation="90" wrapText="1" shrinkToFit="1"/>
    </xf>
    <xf numFmtId="0" fontId="33" fillId="4" borderId="3" xfId="0" applyFont="1" applyFill="1" applyBorder="1" applyAlignment="1">
      <alignment horizontal="center" vertical="center" textRotation="90" wrapText="1" shrinkToFit="1"/>
    </xf>
    <xf numFmtId="0" fontId="33" fillId="5" borderId="3" xfId="0" applyFont="1" applyFill="1" applyBorder="1" applyAlignment="1">
      <alignment horizontal="center" vertical="center" textRotation="90" wrapText="1" shrinkToFit="1"/>
    </xf>
    <xf numFmtId="0" fontId="33" fillId="6" borderId="3" xfId="0" applyFont="1" applyFill="1" applyBorder="1" applyAlignment="1">
      <alignment horizontal="center" vertical="center" textRotation="90" wrapText="1" shrinkToFit="1"/>
    </xf>
    <xf numFmtId="0" fontId="33" fillId="7" borderId="3" xfId="0" applyFont="1" applyFill="1" applyBorder="1" applyAlignment="1">
      <alignment horizontal="center" vertical="center" textRotation="90" wrapText="1" shrinkToFit="1"/>
    </xf>
    <xf numFmtId="0" fontId="33" fillId="8" borderId="3" xfId="0" applyFont="1" applyFill="1" applyBorder="1" applyAlignment="1">
      <alignment horizontal="center" vertical="center" textRotation="90" wrapText="1" shrinkToFit="1"/>
    </xf>
    <xf numFmtId="0" fontId="33" fillId="9" borderId="3" xfId="0" applyFont="1" applyFill="1" applyBorder="1" applyAlignment="1">
      <alignment horizontal="center" vertical="center" textRotation="90" wrapText="1" shrinkToFit="1"/>
    </xf>
    <xf numFmtId="0" fontId="6" fillId="10" borderId="1" xfId="0" applyFont="1" applyFill="1" applyBorder="1" applyAlignment="1">
      <alignment horizontal="center" vertical="center" shrinkToFit="1"/>
    </xf>
    <xf numFmtId="0" fontId="7" fillId="17" borderId="3" xfId="0" applyFont="1" applyFill="1" applyBorder="1" applyAlignment="1">
      <alignment horizontal="center" vertical="center"/>
    </xf>
    <xf numFmtId="164" fontId="21" fillId="17" borderId="3" xfId="0" applyNumberFormat="1" applyFont="1" applyFill="1" applyBorder="1" applyAlignment="1">
      <alignment horizontal="center" vertical="center" wrapText="1"/>
    </xf>
    <xf numFmtId="0" fontId="21" fillId="17" borderId="3" xfId="0" applyFont="1" applyFill="1" applyBorder="1" applyAlignment="1">
      <alignment horizontal="center" vertical="center"/>
    </xf>
    <xf numFmtId="164" fontId="21" fillId="17" borderId="3" xfId="0" applyNumberFormat="1" applyFont="1" applyFill="1" applyBorder="1" applyAlignment="1">
      <alignment vertical="center"/>
    </xf>
    <xf numFmtId="164" fontId="7" fillId="17" borderId="3" xfId="0" applyNumberFormat="1" applyFont="1" applyFill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textRotation="90"/>
    </xf>
    <xf numFmtId="0" fontId="10" fillId="0" borderId="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/>
    <xf numFmtId="0" fontId="35" fillId="2" borderId="1" xfId="0" applyFont="1" applyFill="1" applyBorder="1" applyAlignment="1">
      <alignment horizontal="center" vertical="center" shrinkToFit="1"/>
    </xf>
    <xf numFmtId="0" fontId="19" fillId="11" borderId="3" xfId="0" applyFont="1" applyFill="1" applyBorder="1" applyAlignment="1">
      <alignment horizontal="center" vertical="center"/>
    </xf>
    <xf numFmtId="0" fontId="10" fillId="22" borderId="13" xfId="0" applyFont="1" applyFill="1" applyBorder="1" applyAlignment="1">
      <alignment horizontal="center" vertical="center"/>
    </xf>
    <xf numFmtId="164" fontId="7" fillId="17" borderId="3" xfId="0" applyNumberFormat="1" applyFont="1" applyFill="1" applyBorder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 shrinkToFi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5" fillId="0" borderId="0" xfId="1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31" fillId="11" borderId="12" xfId="0" applyFont="1" applyFill="1" applyBorder="1" applyAlignment="1">
      <alignment horizontal="center" vertical="center" shrinkToFit="1"/>
    </xf>
    <xf numFmtId="164" fontId="16" fillId="0" borderId="6" xfId="0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0" fillId="10" borderId="0" xfId="0" applyFont="1" applyFill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3" fontId="20" fillId="16" borderId="3" xfId="2" applyNumberFormat="1" applyFont="1" applyFill="1" applyBorder="1" applyAlignment="1">
      <alignment horizontal="center" vertical="center" shrinkToFit="1"/>
    </xf>
    <xf numFmtId="0" fontId="18" fillId="0" borderId="2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25" fillId="19" borderId="1" xfId="3" applyFont="1" applyFill="1" applyBorder="1" applyAlignment="1">
      <alignment horizontal="center" vertical="center" textRotation="90" shrinkToFit="1"/>
    </xf>
    <xf numFmtId="0" fontId="25" fillId="19" borderId="3" xfId="3" applyFont="1" applyFill="1" applyBorder="1" applyAlignment="1">
      <alignment horizontal="center" vertical="center" textRotation="90" shrinkToFit="1"/>
    </xf>
    <xf numFmtId="0" fontId="11" fillId="0" borderId="0" xfId="3" applyFont="1" applyAlignment="1">
      <alignment horizontal="center" vertical="center"/>
    </xf>
    <xf numFmtId="16" fontId="22" fillId="6" borderId="3" xfId="3" applyNumberFormat="1" applyFont="1" applyFill="1" applyBorder="1" applyAlignment="1">
      <alignment horizontal="center" vertical="center"/>
    </xf>
    <xf numFmtId="0" fontId="25" fillId="19" borderId="3" xfId="3" applyFont="1" applyFill="1" applyBorder="1" applyAlignment="1">
      <alignment horizontal="center" vertical="center" textRotation="90"/>
    </xf>
    <xf numFmtId="0" fontId="25" fillId="19" borderId="1" xfId="3" applyFont="1" applyFill="1" applyBorder="1" applyAlignment="1">
      <alignment horizontal="center" vertical="center" textRotation="90"/>
    </xf>
    <xf numFmtId="0" fontId="16" fillId="11" borderId="0" xfId="3" applyFont="1" applyFill="1" applyAlignment="1">
      <alignment horizontal="center" vertical="center"/>
    </xf>
    <xf numFmtId="0" fontId="10" fillId="11" borderId="0" xfId="3" applyFont="1" applyFill="1" applyAlignment="1">
      <alignment horizontal="center" vertical="center"/>
    </xf>
    <xf numFmtId="0" fontId="23" fillId="19" borderId="1" xfId="3" applyFont="1" applyFill="1" applyBorder="1" applyAlignment="1">
      <alignment horizontal="center" vertical="center"/>
    </xf>
    <xf numFmtId="0" fontId="23" fillId="19" borderId="2" xfId="3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center" vertical="center"/>
    </xf>
    <xf numFmtId="0" fontId="17" fillId="18" borderId="13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7" fillId="18" borderId="7" xfId="0" applyFont="1" applyFill="1" applyBorder="1" applyAlignment="1">
      <alignment horizontal="center" vertical="center"/>
    </xf>
    <xf numFmtId="0" fontId="19" fillId="15" borderId="3" xfId="2" applyFont="1" applyFill="1" applyBorder="1" applyAlignment="1">
      <alignment horizontal="center" vertical="center" shrinkToFit="1"/>
    </xf>
    <xf numFmtId="0" fontId="16" fillId="12" borderId="3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shrinkToFit="1"/>
    </xf>
    <xf numFmtId="14" fontId="34" fillId="10" borderId="3" xfId="0" applyNumberFormat="1" applyFont="1" applyFill="1" applyBorder="1" applyAlignment="1">
      <alignment horizontal="center" vertical="center" shrinkToFit="1"/>
    </xf>
    <xf numFmtId="166" fontId="34" fillId="10" borderId="3" xfId="0" applyNumberFormat="1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8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7" fillId="17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5" fillId="9" borderId="3" xfId="0" applyFont="1" applyFill="1" applyBorder="1" applyAlignment="1">
      <alignment horizontal="center" vertical="center" shrinkToFit="1"/>
    </xf>
    <xf numFmtId="0" fontId="15" fillId="5" borderId="3" xfId="0" applyFont="1" applyFill="1" applyBorder="1" applyAlignment="1">
      <alignment horizontal="center" vertical="center" shrinkToFit="1"/>
    </xf>
    <xf numFmtId="0" fontId="15" fillId="6" borderId="3" xfId="0" applyFont="1" applyFill="1" applyBorder="1" applyAlignment="1">
      <alignment horizontal="center" vertical="center" shrinkToFit="1"/>
    </xf>
    <xf numFmtId="0" fontId="15" fillId="7" borderId="3" xfId="0" applyFont="1" applyFill="1" applyBorder="1" applyAlignment="1">
      <alignment horizontal="center" vertical="center" shrinkToFit="1"/>
    </xf>
    <xf numFmtId="0" fontId="15" fillId="8" borderId="3" xfId="0" applyFont="1" applyFill="1" applyBorder="1" applyAlignment="1">
      <alignment horizontal="center" vertical="center" shrinkToFit="1"/>
    </xf>
    <xf numFmtId="0" fontId="15" fillId="3" borderId="3" xfId="0" applyFont="1" applyFill="1" applyBorder="1" applyAlignment="1">
      <alignment horizontal="center" vertical="center" shrinkToFit="1"/>
    </xf>
    <xf numFmtId="0" fontId="15" fillId="4" borderId="3" xfId="0" applyFont="1" applyFill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/>
    </xf>
  </cellXfs>
  <cellStyles count="7">
    <cellStyle name="Comma 2" xfId="4" xr:uid="{8F61A759-D126-4256-BFA4-03436D01A332}"/>
    <cellStyle name="Currency 2" xfId="5" xr:uid="{422D5EF4-7E69-44BA-8034-03FF190DFCDC}"/>
    <cellStyle name="Normal" xfId="0" builtinId="0"/>
    <cellStyle name="Normal 2" xfId="1" xr:uid="{9C676296-1049-467C-BA01-721593E92A87}"/>
    <cellStyle name="Normal 3" xfId="2" xr:uid="{B36B5A5F-C3CB-4B6E-9E26-8590026C0253}"/>
    <cellStyle name="Normal 4" xfId="3" xr:uid="{F9682C24-DF90-46B2-A967-FDD9641684AB}"/>
    <cellStyle name="Normal 5" xfId="6" xr:uid="{4B7F056E-1450-453B-AB7B-69CC9AFA46ED}"/>
  </cellStyles>
  <dxfs count="150">
    <dxf>
      <fill>
        <patternFill>
          <bgColor rgb="FFFF505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&quot;د.ع.‏&quot;_-;\-* #,##0\ &quot;د.ع.‏&quot;_-;_-* &quot;-&quot;\ &quot;د.ع.‏&quot;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&quot;د.ع.‏&quot;_-;\-* #,##0\ &quot;د.ع.‏&quot;_-;_-* &quot;-&quot;\ &quot;د.ع.‏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64" formatCode="_-* #,##0\ &quot;د.ع.‏&quot;_-;\-* #,##0\ &quot;د.ع.‏&quot;_-;_-* &quot;-&quot;\ &quot;د.ع.‏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64" formatCode="_-* #,##0\ &quot;د.ع.‏&quot;_-;\-* #,##0\ &quot;د.ع.‏&quot;_-;_-* &quot;-&quot;\ &quot;د.ع.‏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64" formatCode="_-* #,##0\ &quot;د.ع.‏&quot;_-;\-* #,##0\ &quot;د.ع.‏&quot;_-;_-* &quot;-&quot;\ &quot;د.ع.‏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_-* #,##0\ &quot;د.ع.‏&quot;_-;\-* #,##0\ &quot;د.ع.‏&quot;_-;_-* &quot;-&quot;\ &quot;د.ع.‏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64" formatCode="_-* #,##0\ &quot;د.ع.‏&quot;_-;\-* #,##0\ &quot;د.ع.‏&quot;_-;_-* &quot;-&quot;\ &quot;د.ع.‏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64" formatCode="_-* #,##0\ &quot;د.ع.‏&quot;_-;\-* #,##0\ &quot;د.ع.‏&quot;_-;_-* &quot;-&quot;\ &quot;د.ع.‏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64" formatCode="_-* #,##0\ &quot;د.ع.‏&quot;_-;\-* #,##0\ &quot;د.ع.‏&quot;_-;_-* &quot;-&quot;\ &quot;د.ع.‏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indent="0" justifyLastLine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90" wrapText="1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9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9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76200</xdr:rowOff>
    </xdr:from>
    <xdr:to>
      <xdr:col>16</xdr:col>
      <xdr:colOff>333374</xdr:colOff>
      <xdr:row>2</xdr:row>
      <xdr:rowOff>159975</xdr:rowOff>
    </xdr:to>
    <xdr:sp macro="[0]!ProductionExtracte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11BD5BB-E75A-898A-1167-2FFCAA240736}"/>
            </a:ext>
          </a:extLst>
        </xdr:cNvPr>
        <xdr:cNvSpPr/>
      </xdr:nvSpPr>
      <xdr:spPr>
        <a:xfrm>
          <a:off x="11691842251" y="1085850"/>
          <a:ext cx="1362074" cy="36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100" b="1"/>
            <a:t>استخراج الانتاج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136072</xdr:colOff>
      <xdr:row>0</xdr:row>
      <xdr:rowOff>88446</xdr:rowOff>
    </xdr:from>
    <xdr:to>
      <xdr:col>6</xdr:col>
      <xdr:colOff>18389</xdr:colOff>
      <xdr:row>3</xdr:row>
      <xdr:rowOff>66635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78AFE9-F779-484C-B8A9-CB6160F09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9320587" y="88446"/>
          <a:ext cx="1323341" cy="731530"/>
        </a:xfrm>
        <a:prstGeom prst="rect">
          <a:avLst/>
        </a:prstGeom>
      </xdr:spPr>
    </xdr:pic>
    <xdr:clientData/>
  </xdr:twoCellAnchor>
  <xdr:twoCellAnchor>
    <xdr:from>
      <xdr:col>25</xdr:col>
      <xdr:colOff>145302</xdr:colOff>
      <xdr:row>6</xdr:row>
      <xdr:rowOff>602316</xdr:rowOff>
    </xdr:from>
    <xdr:to>
      <xdr:col>27</xdr:col>
      <xdr:colOff>419891</xdr:colOff>
      <xdr:row>7</xdr:row>
      <xdr:rowOff>200316</xdr:rowOff>
    </xdr:to>
    <xdr:sp macro="[0]!CreateNew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99A9E14-DC4F-4A4B-BBB6-FC72AAF6F97B}"/>
            </a:ext>
          </a:extLst>
        </xdr:cNvPr>
        <xdr:cNvSpPr/>
      </xdr:nvSpPr>
      <xdr:spPr>
        <a:xfrm>
          <a:off x="9530317521" y="2081492"/>
          <a:ext cx="1440000" cy="36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100" b="1"/>
            <a:t>ملف</a:t>
          </a:r>
          <a:r>
            <a:rPr lang="ar-SA" sz="1100" b="1" baseline="0"/>
            <a:t> جديد</a:t>
          </a:r>
          <a:endParaRPr lang="en-US" sz="1100" b="1"/>
        </a:p>
      </xdr:txBody>
    </xdr:sp>
    <xdr:clientData/>
  </xdr:twoCellAnchor>
  <xdr:twoCellAnchor>
    <xdr:from>
      <xdr:col>25</xdr:col>
      <xdr:colOff>135821</xdr:colOff>
      <xdr:row>8</xdr:row>
      <xdr:rowOff>86285</xdr:rowOff>
    </xdr:from>
    <xdr:to>
      <xdr:col>27</xdr:col>
      <xdr:colOff>410410</xdr:colOff>
      <xdr:row>9</xdr:row>
      <xdr:rowOff>198635</xdr:rowOff>
    </xdr:to>
    <xdr:sp macro="[0]!SellsExtracter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F96E8E1-FDED-426D-B2AF-743D2777A4AD}"/>
            </a:ext>
          </a:extLst>
        </xdr:cNvPr>
        <xdr:cNvSpPr/>
      </xdr:nvSpPr>
      <xdr:spPr>
        <a:xfrm>
          <a:off x="9530327002" y="2573991"/>
          <a:ext cx="1440000" cy="3588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100" b="1"/>
            <a:t>تحميل المبيعات</a:t>
          </a:r>
          <a:endParaRPr lang="en-US" sz="1100" b="1"/>
        </a:p>
      </xdr:txBody>
    </xdr:sp>
    <xdr:clientData/>
  </xdr:twoCellAnchor>
  <xdr:twoCellAnchor>
    <xdr:from>
      <xdr:col>25</xdr:col>
      <xdr:colOff>123780</xdr:colOff>
      <xdr:row>10</xdr:row>
      <xdr:rowOff>112058</xdr:rowOff>
    </xdr:from>
    <xdr:to>
      <xdr:col>27</xdr:col>
      <xdr:colOff>398369</xdr:colOff>
      <xdr:row>11</xdr:row>
      <xdr:rowOff>225529</xdr:rowOff>
    </xdr:to>
    <xdr:sp macro="[0]!ProductionExtracter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71AEB87-B808-4560-9089-36829670FCCD}"/>
            </a:ext>
          </a:extLst>
        </xdr:cNvPr>
        <xdr:cNvSpPr/>
      </xdr:nvSpPr>
      <xdr:spPr>
        <a:xfrm>
          <a:off x="9530339043" y="3092823"/>
          <a:ext cx="1440000" cy="36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100" b="1"/>
            <a:t>استخراج الانتاج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541339</xdr:colOff>
      <xdr:row>2</xdr:row>
      <xdr:rowOff>230188</xdr:rowOff>
    </xdr:from>
    <xdr:to>
      <xdr:col>9</xdr:col>
      <xdr:colOff>600214</xdr:colOff>
      <xdr:row>4</xdr:row>
      <xdr:rowOff>96475</xdr:rowOff>
    </xdr:to>
    <xdr:sp macro="[0]!DiscountEvent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FDDB59F-02DB-48E6-BB47-AB9D5761BCD4}"/>
            </a:ext>
          </a:extLst>
        </xdr:cNvPr>
        <xdr:cNvSpPr/>
      </xdr:nvSpPr>
      <xdr:spPr>
        <a:xfrm>
          <a:off x="22615321661" y="722313"/>
          <a:ext cx="1440000" cy="3584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100" b="1"/>
            <a:t>فروق الاسعار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end"/>
      <sheetName val="عداد الخلفات"/>
      <sheetName val="عداد النازل"/>
      <sheetName val="متابعة تعبئة"/>
      <sheetName val="كشف الانتاج"/>
      <sheetName val="المناقلات"/>
      <sheetName val="فروق الاسعار"/>
      <sheetName val="التقرير النهائى العام"/>
      <sheetName val="كشف الانتاج الكلى"/>
    </sheetNames>
    <sheetDataSet>
      <sheetData sheetId="0"/>
      <sheetData sheetId="1"/>
      <sheetData sheetId="2"/>
      <sheetData sheetId="3"/>
      <sheetData sheetId="4">
        <row r="1">
          <cell r="A1" t="str">
            <v>اجمالي عمل شفت الكنتاكي</v>
          </cell>
        </row>
        <row r="2">
          <cell r="A2" t="str">
            <v>اجمالى عمل الدائرى</v>
          </cell>
        </row>
        <row r="3">
          <cell r="A3" t="str">
            <v>اجمالى عمل الاطوال</v>
          </cell>
        </row>
        <row r="4">
          <cell r="A4" t="str">
            <v>اجمالي عمل شفت الطوارئ</v>
          </cell>
        </row>
        <row r="5">
          <cell r="A5" t="str">
            <v>اجمالى العمل الكلى</v>
          </cell>
        </row>
        <row r="6">
          <cell r="E6" t="str">
            <v>خط الانتاج</v>
          </cell>
          <cell r="N6" t="str">
            <v>متبقي امس</v>
          </cell>
          <cell r="P6" t="str">
            <v>الوارد</v>
          </cell>
          <cell r="R6" t="str">
            <v>التلف</v>
          </cell>
          <cell r="T6" t="str">
            <v>المبيعات</v>
          </cell>
          <cell r="V6" t="str">
            <v>فرق الانتاج</v>
          </cell>
          <cell r="X6" t="str">
            <v>متبقي اليوم</v>
          </cell>
        </row>
      </sheetData>
      <sheetData sheetId="5"/>
      <sheetData sheetId="6">
        <row r="60">
          <cell r="A60"/>
        </row>
      </sheetData>
      <sheetData sheetId="7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B73F71-BB4F-45B2-B759-9D9DA95A55F5}" name="productionSection" displayName="productionSection" ref="A2:C43" totalsRowShown="0" headerRowDxfId="149" dataDxfId="148">
  <autoFilter ref="A2:C43" xr:uid="{B9B73F71-BB4F-45B2-B759-9D9DA95A55F5}"/>
  <tableColumns count="3">
    <tableColumn id="1" xr3:uid="{433C1523-785F-45C0-B2B6-F86C9F6C7BE2}" name="Product Name" dataDxfId="147"/>
    <tableColumn id="2" xr3:uid="{4552DA08-EE4D-4BB8-9E01-74955D62BE82}" name="Amount" dataDxfId="146"/>
    <tableColumn id="4" xr3:uid="{1564B854-7E36-4363-BC32-0E70A5B3090B}" name="Transfer" dataDxfId="145">
      <calculatedColumnFormula>SUMIF(productionSection[Product Name],'كشف الانتاج'!C8,productionSection[Amount])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E58B20-90D9-43D4-AF78-DA3C1278C5A8}" name="sells" displayName="sells" ref="E2:H41" totalsRowShown="0" headerRowDxfId="144" dataDxfId="143" tableBorderDxfId="142">
  <autoFilter ref="E2:H41" xr:uid="{0FE58B20-90D9-43D4-AF78-DA3C1278C5A8}"/>
  <tableColumns count="4">
    <tableColumn id="1" xr3:uid="{9A434141-F302-4340-95BF-FFD7B5B21823}" name="Product Name" dataDxfId="141"/>
    <tableColumn id="2" xr3:uid="{F0525C37-D36C-4FB3-88A9-FC8EC4E00020}" name="Amount" dataDxfId="140"/>
    <tableColumn id="5" xr3:uid="{E648DDE7-CEE0-45ED-86E5-74996A4DD2FB}" name="Main Name" dataDxfId="139"/>
    <tableColumn id="3" xr3:uid="{758F0582-4BE2-454C-ACAF-F1F576AF3FBB}" name="Transfer" dataDxfId="138">
      <calculatedColumnFormula>SUMIF(sells[Product Name],sells[[#This Row],[Main Name]],sells[Amount])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ADE769-F9F9-414E-A918-A3563FD6DC8E}" name="names" displayName="names" ref="I2:J41" totalsRowShown="0" headerRowDxfId="137" dataDxfId="136">
  <autoFilter ref="I2:J41" xr:uid="{3EADE769-F9F9-414E-A918-A3563FD6DC8E}"/>
  <tableColumns count="2">
    <tableColumn id="1" xr3:uid="{FA5E970D-465A-4A05-8F53-259D335B395F}" name="burger 11" dataDxfId="135"/>
    <tableColumn id="2" xr3:uid="{B92F9873-4298-4636-A556-11B94CF98500}" name="humam" dataDxfId="134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C43BF5-7BAA-403F-940F-9DE2DDBCFD0D}" name="shift01" displayName="shift01" ref="A1:O36" totalsRowShown="0" headerRowDxfId="133" dataDxfId="131" headerRowBorderDxfId="132" tableBorderDxfId="130" totalsRowBorderDxfId="129" headerRowCellStyle="Normal 2" dataCellStyle="Normal 2">
  <autoFilter ref="A1:O36" xr:uid="{52C62DDD-630C-44AB-898D-974E0446DE97}"/>
  <tableColumns count="15">
    <tableColumn id="1" xr3:uid="{87B9E4E4-6AC7-48CD-A027-BCF0BD1E0B51}" name="ت" dataDxfId="128" dataCellStyle="Normal 2"/>
    <tableColumn id="2" xr3:uid="{ABA15A37-1725-4AEA-9AF4-FA601B1E8B95}" name="فلر 26 عادي" dataDxfId="127" dataCellStyle="Normal 2"/>
    <tableColumn id="3" xr3:uid="{1B664319-0374-40C6-BF39-188A627A1C69}" name="فلر 26 بوليش" dataDxfId="126" dataCellStyle="Normal 2"/>
    <tableColumn id="4" xr3:uid="{0658A352-A7A2-4127-B111-40BC09746270}" name="فلر 26 سميد" dataDxfId="125" dataCellStyle="Normal 2"/>
    <tableColumn id="5" xr3:uid="{0C934680-BE30-48A2-8278-E241E52FB0B2}" name="دبل باسطون" dataDxfId="124" dataCellStyle="Normal 2"/>
    <tableColumn id="6" xr3:uid="{33C8A70C-1F6F-432D-9511-4ED4E946780E}" name="سابوي" dataDxfId="123" dataCellStyle="Normal 2"/>
    <tableColumn id="7" xr3:uid="{E7425AC3-F240-4BC6-A114-C075105EE202}" name="سابوي بوليش" dataDxfId="122" dataCellStyle="Normal 2"/>
    <tableColumn id="8" xr3:uid="{7FB60744-7702-428D-8DD3-462A1B3F5760}" name="همام عادي" dataDxfId="121" dataCellStyle="Normal 2"/>
    <tableColumn id="9" xr3:uid="{95E8EDF3-F886-4ACF-83D4-45E70A754059}" name="همام مشرح" dataDxfId="120" dataCellStyle="Normal 2"/>
    <tableColumn id="10" xr3:uid="{0E73E872-A7A0-43F9-B882-C66B42793F53}" name="بركر 11" dataDxfId="119" dataCellStyle="Normal 2"/>
    <tableColumn id="11" xr3:uid="{8667EE5C-7C4A-4C03-8E8C-F8EB8E39720A}" name="بركر 14 عادي" dataDxfId="118" dataCellStyle="Normal 2"/>
    <tableColumn id="12" xr3:uid="{C3F25F95-AE72-4C27-A46F-DB26813B4A9B}" name="بركر 13 عادي" dataDxfId="117" dataCellStyle="Normal 2"/>
    <tableColumn id="13" xr3:uid="{3CA9871A-2E96-4F8B-9A92-BE78CC2D8C59}" name="بركر 14 بوليش" dataDxfId="116" dataCellStyle="Normal 2"/>
    <tableColumn id="14" xr3:uid="{02B706E0-E584-4A91-B2B6-314C83A13A56}" name="كنتاكي" dataDxfId="115" dataCellStyle="Normal 2"/>
    <tableColumn id="15" xr3:uid="{1CB7C5D5-E04A-4B5B-A3E3-F50F9D5816C6}" name="العمل" dataDxfId="114" dataCellStyle="Normal 2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04747E-482B-46AA-8D5E-2DA5FFDCF7B1}" name="shift02" displayName="shift02" ref="A38:O73" totalsRowShown="0" headerRowDxfId="113" dataDxfId="111" headerRowBorderDxfId="112" tableBorderDxfId="110" totalsRowBorderDxfId="109" headerRowCellStyle="Normal 2" dataCellStyle="Normal 2">
  <autoFilter ref="A38:O73" xr:uid="{0E28D057-B3D4-4360-9631-61949A5EB37F}"/>
  <tableColumns count="15">
    <tableColumn id="1" xr3:uid="{0D6C7F17-97B0-4C0B-86FE-DDC209FF38A1}" name="ت" dataDxfId="108" dataCellStyle="Normal 2"/>
    <tableColumn id="2" xr3:uid="{DBA04E6A-DE47-44BD-BEBC-A6541FC33C7F}" name="بركر 14 عادي" dataDxfId="107" dataCellStyle="Normal 2"/>
    <tableColumn id="3" xr3:uid="{2381EE3C-F2EC-4185-AAE1-44443D12834A}" name="بركر 14 بوليش" dataDxfId="106" dataCellStyle="Normal 2"/>
    <tableColumn id="4" xr3:uid="{A2105901-9441-429A-BD00-EB7CEB012ED5}" name="بركر 14 بطاطا" dataDxfId="105" dataCellStyle="Normal 2"/>
    <tableColumn id="5" xr3:uid="{8B5BEB21-217C-4BE9-A611-EC1ADFF77BD4}" name="بركر 13 بطاطا" dataDxfId="104" dataCellStyle="Normal 2"/>
    <tableColumn id="6" xr3:uid="{EA49BD3C-D97E-49FA-A172-2C5525DD5954}" name="بركر 13 بوليش" dataDxfId="103" dataCellStyle="Normal 2"/>
    <tableColumn id="7" xr3:uid="{CF8587A5-60FC-4C8B-9D1A-DD8AC29AE7A5}" name="بركر 13 عادي" dataDxfId="102" dataCellStyle="Normal 2"/>
    <tableColumn id="8" xr3:uid="{B8958B12-7A7E-4ADC-91B3-A9372C2B4345}" name="بركر 10 عادي" dataDxfId="101" dataCellStyle="Normal 2"/>
    <tableColumn id="9" xr3:uid="{8DA6D303-C506-4976-82F2-DA115525CBE0}" name="مثلث" dataDxfId="100" dataCellStyle="Normal 2"/>
    <tableColumn id="10" xr3:uid="{A7E3DAEE-8AB4-41C3-9889-CFF8F1C4FFB6}" name="وسط باكيت" dataDxfId="99" dataCellStyle="Normal 2"/>
    <tableColumn id="11" xr3:uid="{10FDD744-2C5E-4345-8489-C43CC718EAF9}" name="بركر 11" dataDxfId="98" dataCellStyle="Normal 2"/>
    <tableColumn id="12" xr3:uid="{5349FFBD-A8E5-46B7-8DEE-A5A0072A31E4}" name="فلر 26 عادي" dataDxfId="97" dataCellStyle="Normal 2"/>
    <tableColumn id="13" xr3:uid="{A55529E6-2D1E-42ED-9F24-CF3C0FBC722E}" name="بركر 13 شعير" dataDxfId="96" dataCellStyle="Normal 2"/>
    <tableColumn id="14" xr3:uid="{6A4F1064-E5EF-4768-A810-FF825DAB5AA9}" name="كنتاكي" dataDxfId="95" dataCellStyle="Normal 2"/>
    <tableColumn id="15" xr3:uid="{4049AB0F-5224-4B23-B610-8DB470FD8B43}" name="العمل" dataDxfId="94" dataCellStyle="Normal 2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6D3FDA-6450-49AE-8A42-AB484E62CDC6}" name="shift03" displayName="shift03" ref="A75:O110" totalsRowShown="0" headerRowDxfId="93" dataDxfId="91" headerRowBorderDxfId="92" tableBorderDxfId="90" totalsRowBorderDxfId="89" headerRowCellStyle="Normal 2" dataCellStyle="Normal 2">
  <autoFilter ref="A75:O110" xr:uid="{A96039CD-F400-4234-9656-DF3592B33B60}"/>
  <tableColumns count="15">
    <tableColumn id="1" xr3:uid="{190A1C13-D1A2-4918-AE3A-88152C9342D3}" name="ت" dataDxfId="88" dataCellStyle="Normal 2"/>
    <tableColumn id="2" xr3:uid="{21C212FE-3BE6-4005-AB65-432F7E14BABE}" name="بركر 14 عادي" dataDxfId="87" dataCellStyle="Normal 2"/>
    <tableColumn id="3" xr3:uid="{AF859761-0DB9-4272-9F6A-888BD112652A}" name="بركر 14 بوليش" dataDxfId="86" dataCellStyle="Normal 2"/>
    <tableColumn id="4" xr3:uid="{9ABEADF4-5E9A-4AE7-86EE-B7F4CEBAF8F3}" name="بركر 14 بطاطا" dataDxfId="85" dataCellStyle="Normal 2"/>
    <tableColumn id="5" xr3:uid="{D91916A1-E453-43B9-87F4-C183C1DD69D2}" name="بركر 13 بطاطا" dataDxfId="84" dataCellStyle="Normal 2"/>
    <tableColumn id="6" xr3:uid="{CD8643CB-3FBA-42C0-B93E-C22F657282E6}" name="بركر 13 بوليش" dataDxfId="83" dataCellStyle="Normal 2"/>
    <tableColumn id="7" xr3:uid="{DB184449-3D34-4F9C-847F-E2F270FF22B1}" name="بركر 13 عادي" dataDxfId="82" dataCellStyle="Normal 2"/>
    <tableColumn id="8" xr3:uid="{8D7B8F89-417D-41C3-ABFB-6C95DA35062B}" name="بركر 10 عادي" dataDxfId="81" dataCellStyle="Normal 2"/>
    <tableColumn id="9" xr3:uid="{FADCEED4-340A-42A5-BAB0-CE7ECDD8B6FC}" name="مثلث" dataDxfId="80" dataCellStyle="Normal 2"/>
    <tableColumn id="10" xr3:uid="{27DE78AA-722A-45B1-8F95-723BAA403195}" name="وسط باكيت" dataDxfId="79" dataCellStyle="Normal 2"/>
    <tableColumn id="11" xr3:uid="{5BFC6D21-84DB-40DC-8149-44D05DB18F65}" name="بركر 11" dataDxfId="78" dataCellStyle="Normal 2"/>
    <tableColumn id="12" xr3:uid="{735EFDDB-319A-4E5B-A4C6-E498BCA901DA}" name="فلر 26 عادي" dataDxfId="77" dataCellStyle="Normal 2"/>
    <tableColumn id="13" xr3:uid="{2F27F158-3F63-4FA3-8801-C3A1C10E0C95}" name="بركر 13 شعير" dataDxfId="76" dataCellStyle="Normal 2"/>
    <tableColumn id="14" xr3:uid="{9295F7D6-439B-4EF8-A571-19D86E10D73E}" name="كنتاكي" dataDxfId="75" dataCellStyle="Normal 2"/>
    <tableColumn id="15" xr3:uid="{B2420DD9-C8D7-4149-9E0B-9EF36D845BB5}" name="العمل" dataDxfId="74" dataCellStyle="Normal 2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FF4E42-0CD8-4C84-BE05-61771F980728}" name="ele" displayName="ele" ref="A1:E270" totalsRowShown="0" headerRowDxfId="73" dataDxfId="71" headerRowBorderDxfId="72" tableBorderDxfId="70" totalsRowBorderDxfId="69">
  <autoFilter ref="A1:E270" xr:uid="{ABCD6C8D-E32C-404F-A9B7-FF7125A8FEE5}"/>
  <sortState xmlns:xlrd2="http://schemas.microsoft.com/office/spreadsheetml/2017/richdata2" ref="A2:E43">
    <sortCondition ref="B1:B43"/>
  </sortState>
  <tableColumns count="5">
    <tableColumn id="1" xr3:uid="{F21DCBD6-4961-4745-A189-3A9DE15C0260}" name="ت" dataDxfId="68"/>
    <tableColumn id="5" xr3:uid="{C522B02D-4BB9-4FF4-8486-499D2D72A85A}" name="ر. المادة" dataDxfId="67"/>
    <tableColumn id="4" xr3:uid="{3335D8D1-D930-4C1D-871B-381B502FF874}" name="اسم المادة" dataDxfId="66">
      <calculatedColumnFormula>IF(ele[[#This Row],[ر. المادة]]&lt;&gt; "",VLOOKUP(ele[[#This Row],[ر. المادة]],sammary[[رمز المادة]:[اسم المادة]],2,FALSE),"")</calculatedColumnFormula>
    </tableColumn>
    <tableColumn id="2" xr3:uid="{9E0435FE-28AA-4762-A10D-381C3B60D5CA}" name="عدد الصواني" dataDxfId="65"/>
    <tableColumn id="3" xr3:uid="{D0CB5157-0501-4C3A-BA06-D976C4D52FEE}" name="عدد النقص" dataDxfId="64"/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C7AD4-3EF4-4117-ADBA-8CCDA03E5DA5}" name="sammary" displayName="sammary" ref="A7:Y37" totalsRowShown="0" headerRowDxfId="63" dataDxfId="61" headerRowBorderDxfId="62">
  <autoFilter ref="A7:Y37" xr:uid="{D46C7AD4-3EF4-4117-ADBA-8CCDA03E5DA5}"/>
  <tableColumns count="25">
    <tableColumn id="1" xr3:uid="{91F2E51C-2AF6-45C5-88BE-70B325453B41}" name="ت" dataDxfId="60"/>
    <tableColumn id="2" xr3:uid="{BCE36481-163C-47FC-9D16-1B27DE28F610}" name="رمز المادة" dataDxfId="59"/>
    <tableColumn id="3" xr3:uid="{98228D66-271E-4827-920E-EEC67838BA51}" name="اسم المادة" dataDxfId="58"/>
    <tableColumn id="4" xr3:uid="{EAA66F67-02D3-4176-807F-D069522B4BBC}" name="السعر" dataDxfId="57"/>
    <tableColumn id="5" xr3:uid="{9FAE8CB3-685B-425E-A162-2D696294EC98}" name="شفت المسائي" dataDxfId="56"/>
    <tableColumn id="6" xr3:uid="{E09630F4-EB65-4F90-94B7-77D9CAE062EA}" name="شفت الطوارئ" dataDxfId="55"/>
    <tableColumn id="7" xr3:uid="{591BC5BE-5B3D-462E-ABD8-16970E3C9D46}" name="المناقلات" dataDxfId="54">
      <calculatedColumnFormula>Transfer(sammary[[#This Row],[رمز المادة]],transferTable[ر.م.مستورد],transferTable[ر.م.مصدر],transferTable[الكمية])</calculatedColumnFormula>
    </tableColumn>
    <tableColumn id="8" xr3:uid="{50673E70-7D13-4BF8-AF30-DE06887B4008}" name="نقص الصواني بعد الخبز" dataDxfId="53"/>
    <tableColumn id="9" xr3:uid="{18D07478-B895-446A-A2A6-72515572FDA0}" name="اكل عمال" dataDxfId="52"/>
    <tableColumn id="10" xr3:uid="{CD75A3EA-6008-412A-B97D-9BB798B3C34D}" name="اجمالى الكمية" dataDxfId="51">
      <calculatedColumnFormula>SUM(sammary[[#This Row],[شفت المسائي]:[المناقلات]])-SUM(sammary[[#This Row],[نقص الصواني بعد الخبز]:[اكل عمال]])-sammary[[#This Row],[كمية التلف اليومى]]</calculatedColumnFormula>
    </tableColumn>
    <tableColumn id="11" xr3:uid="{F5A24D1B-D650-4CAA-B154-75279F35A1C1}" name="قيمة الانتاج اليومى" dataDxfId="50">
      <calculatedColumnFormula>sammary[[#This Row],[اجمالى الكمية]]*sammary[[#This Row],[السعر]]</calculatedColumnFormula>
    </tableColumn>
    <tableColumn id="12" xr3:uid="{7CE65492-523A-41FE-9E73-5A062886F115}" name="نازل" dataDxfId="49">
      <calculatedColumnFormula>'عداد النازل'!U2</calculatedColumnFormula>
    </tableColumn>
    <tableColumn id="13" xr3:uid="{CB555111-8BE6-4033-9808-BE2A8F033779}" name="الفرق عن النازل عند الخلفات" dataDxfId="48">
      <calculatedColumnFormula>sammary[[#This Row],[نازل]]-sammary[[#This Row],[اجمالى الكمية]]</calculatedColumnFormula>
    </tableColumn>
    <tableColumn id="14" xr3:uid="{6B7038E0-77A0-43C2-8594-89D6E3A85FD2}" name="كمية المتبقى امس" dataDxfId="47"/>
    <tableColumn id="15" xr3:uid="{43B55702-8C6B-4C17-9FAD-304077313A6C}" name="قيمة المتبقى امس" dataDxfId="46">
      <calculatedColumnFormula>sammary[[#This Row],[كمية المتبقى امس]]*sammary[[#This Row],[السعر]]</calculatedColumnFormula>
    </tableColumn>
    <tableColumn id="16" xr3:uid="{D95B59D4-A68A-4B1C-A87D-03AB5D9E5D53}" name="كمية الوارد فروع" dataDxfId="45"/>
    <tableColumn id="17" xr3:uid="{9F553001-E46A-4BE3-9D68-908379E7BD46}" name="قيمة الوارد فروع" dataDxfId="44">
      <calculatedColumnFormula>sammary[[#This Row],[كمية الوارد فروع]]*sammary[[#This Row],[السعر]]</calculatedColumnFormula>
    </tableColumn>
    <tableColumn id="18" xr3:uid="{B07AE9CB-BAD6-413E-AEB5-0D94D06B0496}" name="كمية التلف اليومى" dataDxfId="43"/>
    <tableColumn id="19" xr3:uid="{2615A542-B190-48EB-9E50-6447BB834FB3}" name="قيمة التلف اليومى" dataDxfId="42">
      <calculatedColumnFormula>sammary[[#This Row],[كمية التلف اليومى]]*sammary[[#This Row],[السعر]]</calculatedColumnFormula>
    </tableColumn>
    <tableColumn id="20" xr3:uid="{4081F535-0B08-4B28-A48F-23E790C9F3C5}" name="كمية المبيعات اليومية" dataDxfId="41"/>
    <tableColumn id="21" xr3:uid="{78604080-A95E-4931-BF7C-C2774C665170}" name="قيمة المبيعات اليومية" dataDxfId="40">
      <calculatedColumnFormula>sammary[[#This Row],[كمية المبيعات اليومية]]*sammary[[#This Row],[السعر]]</calculatedColumnFormula>
    </tableColumn>
    <tableColumn id="22" xr3:uid="{FDFAAA74-6F4B-47DE-8391-21E5A6E989F5}" name="فرق الانتاج (المفقود)" dataDxfId="39">
      <calculatedColumnFormula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calculatedColumnFormula>
    </tableColumn>
    <tableColumn id="23" xr3:uid="{EB5EFF3B-BD77-41A9-AC9D-21713F05448D}" name="قيمة فرق الانتاج" dataDxfId="38">
      <calculatedColumnFormula>sammary[[#This Row],[فرق الانتاج (المفقود)]]*sammary[[#This Row],[السعر]]</calculatedColumnFormula>
    </tableColumn>
    <tableColumn id="24" xr3:uid="{7BDA32C8-D5E6-4C45-AA55-086C504277C2}" name="متبقي انتاج اليوم" dataDxfId="37"/>
    <tableColumn id="25" xr3:uid="{DF1FFF3A-1B21-47C9-954A-D4F7200FD5F2}" name="قيمة متبقى انتاج اليوم" dataDxfId="36">
      <calculatedColumnFormula>sammary[[#This Row],[متبقي انتاج اليوم]]*sammary[[#This Row],[السعر]]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40366A-150B-48AC-B828-5DDC7CCD48AD}" name="transferTable" displayName="transferTable" ref="A1:G11" totalsRowShown="0" headerRowDxfId="35" dataDxfId="33" headerRowBorderDxfId="34" tableBorderDxfId="32" totalsRowBorderDxfId="31">
  <autoFilter ref="A1:G11" xr:uid="{E740366A-150B-48AC-B828-5DDC7CCD48AD}"/>
  <tableColumns count="7">
    <tableColumn id="1" xr3:uid="{7776A9D0-DBC5-4038-B4A2-2066F7209C36}" name="ت" dataDxfId="30"/>
    <tableColumn id="2" xr3:uid="{46E88F7B-123D-4413-8306-6C8F217DD752}" name="ر.م.مصدر" dataDxfId="29"/>
    <tableColumn id="3" xr3:uid="{161A8FAF-4DD4-43B0-9151-0290B93635D9}" name="اسم المادة المصدرة" dataDxfId="28">
      <calculatedColumnFormula>IF(transferTable[[#This Row],[ر.م.مصدر]]&lt;&gt;"",VLOOKUP(transferTable[[#This Row],[ر.م.مصدر]],sammary[[رمز المادة]:[اسم المادة]],2,FALSE),"")</calculatedColumnFormula>
    </tableColumn>
    <tableColumn id="4" xr3:uid="{73940CDA-939A-4FF0-AE16-E16F583C138D}" name="ر.م.مستورد" dataDxfId="27"/>
    <tableColumn id="5" xr3:uid="{38C95000-7CAC-4138-BEC4-167F72E0D1BA}" name="اسم المادة الورادة" dataDxfId="26">
      <calculatedColumnFormula>IF(transferTable[[#This Row],[ر.م.مستورد]]&lt;&gt;"",VLOOKUP(transferTable[[#This Row],[ر.م.مستورد]],sammary[[رمز المادة]:[اسم المادة]],2,FALSE),"")</calculatedColumnFormula>
    </tableColumn>
    <tableColumn id="6" xr3:uid="{5DDDF880-DEC9-4622-88EE-3E27DCD766EB}" name="الكمية" dataDxfId="25"/>
    <tableColumn id="7" xr3:uid="{8E2E7F2F-115C-4347-BE3F-633F4E944379}" name="ملاحظات" dataDxfId="24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B1459B-1D2E-45AB-B9C9-9544C8474309}" name="distable" displayName="distable" ref="A2:H136" totalsRowShown="0" headerRowDxfId="23" dataDxfId="21" headerRowBorderDxfId="22" tableBorderDxfId="20" totalsRowBorderDxfId="19">
  <autoFilter ref="A2:H136" xr:uid="{5BB1459B-1D2E-45AB-B9C9-9544C8474309}"/>
  <sortState xmlns:xlrd2="http://schemas.microsoft.com/office/spreadsheetml/2017/richdata2" ref="A3:H7">
    <sortCondition descending="1" ref="H2:H7"/>
  </sortState>
  <tableColumns count="8">
    <tableColumn id="1" xr3:uid="{9CA93F4D-7257-4D6F-BF3E-B9E497D4978E}" name="ت" dataDxfId="18" totalsRowDxfId="17"/>
    <tableColumn id="2" xr3:uid="{9DF3E711-FD52-4409-BE89-0A45D7DFA335}" name="ر.المادة" dataDxfId="16" totalsRowDxfId="15"/>
    <tableColumn id="8" xr3:uid="{58662383-1542-4804-B19B-DFB734843C55}" name="اسم المادة" dataDxfId="14" totalsRowDxfId="13">
      <calculatedColumnFormula>IF(distable[[#This Row],[ر.المادة]]&lt;&gt;"",VLOOKUP(distable[[#This Row],[ر.المادة]],sammary[[رمز المادة]:[السعر]],2,FALSE),"")</calculatedColumnFormula>
    </tableColumn>
    <tableColumn id="3" xr3:uid="{2D6F8EE4-4BF9-41CA-8B5C-0B862F4385E5}" name="اسم المطعم" dataDxfId="12" totalsRowDxfId="11"/>
    <tableColumn id="5" xr3:uid="{E7AE5B36-C48F-4B77-A4F8-A28CABA709B8}" name="السعر الاصلي" dataDxfId="10" totalsRowDxfId="9">
      <calculatedColumnFormula>IF(distable[[#This Row],[ر.المادة]]&lt;&gt;"",VLOOKUP(distable[[#This Row],[ر.المادة]],sammary[[رمز المادة]:[السعر]],3,FALSE),"")</calculatedColumnFormula>
    </tableColumn>
    <tableColumn id="6" xr3:uid="{C23D3FF1-FB5F-4398-A704-A2284BF486A9}" name="السعر بعد الخصم" dataDxfId="8" totalsRowDxfId="7"/>
    <tableColumn id="7" xr3:uid="{33542901-F315-40C3-B4D9-D270566DC06D}" name="الكمية" dataDxfId="6" totalsRowDxfId="5"/>
    <tableColumn id="4" xr3:uid="{3F493150-28F2-41B3-9682-9678B22FB619}" name="فرق السعر" dataDxfId="4" totalsRowDxfId="3">
      <calculatedColumnFormula>IF(distable[[#This Row],[ر.المادة]]&lt;&gt;"",distable[[#This Row],[الكمية]]*(distable[[#This Row],[السعر الاصلي]]-distable[[#This Row],[السعر بعد الخصم]]),"")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2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C18F-406F-4EC3-9C0F-D48A3A532B43}">
  <sheetPr codeName="Sheet3">
    <tabColor theme="5"/>
  </sheetPr>
  <dimension ref="A1:O43"/>
  <sheetViews>
    <sheetView view="pageBreakPreview" topLeftCell="A3" zoomScale="85" zoomScaleNormal="100" zoomScaleSheetLayoutView="85" workbookViewId="0">
      <selection activeCell="H21" sqref="H21"/>
    </sheetView>
  </sheetViews>
  <sheetFormatPr defaultColWidth="20.7109375" defaultRowHeight="20.100000000000001" customHeight="1"/>
  <cols>
    <col min="1" max="16384" width="20.7109375" style="23"/>
  </cols>
  <sheetData>
    <row r="1" spans="1:15" ht="20.100000000000001" customHeight="1">
      <c r="A1" s="118" t="s">
        <v>86</v>
      </c>
      <c r="B1" s="118"/>
      <c r="C1" s="118"/>
      <c r="D1" s="120"/>
      <c r="E1" s="119" t="s">
        <v>89</v>
      </c>
      <c r="F1" s="119"/>
      <c r="G1" s="119"/>
      <c r="H1" s="119"/>
      <c r="I1" s="122" t="s">
        <v>90</v>
      </c>
      <c r="J1" s="121"/>
    </row>
    <row r="2" spans="1:15" ht="20.100000000000001" customHeight="1">
      <c r="A2" s="24" t="s">
        <v>87</v>
      </c>
      <c r="B2" s="24" t="s">
        <v>84</v>
      </c>
      <c r="C2" s="24" t="s">
        <v>88</v>
      </c>
      <c r="D2" s="121"/>
      <c r="E2" s="23" t="s">
        <v>87</v>
      </c>
      <c r="F2" s="23" t="s">
        <v>84</v>
      </c>
      <c r="G2" s="23" t="s">
        <v>85</v>
      </c>
      <c r="H2" s="23" t="s">
        <v>88</v>
      </c>
      <c r="I2" s="25" t="s">
        <v>91</v>
      </c>
      <c r="J2" s="25" t="s">
        <v>92</v>
      </c>
    </row>
    <row r="3" spans="1:15" ht="20.100000000000001" customHeight="1">
      <c r="A3" s="23" t="s">
        <v>44</v>
      </c>
      <c r="B3" s="23">
        <v>6139</v>
      </c>
      <c r="C3" s="23">
        <f>SUMIF(productionSection[Product Name],'كشف الانتاج'!C8,productionSection[Amount])</f>
        <v>40704</v>
      </c>
      <c r="D3" s="121"/>
      <c r="E3" s="23" t="s">
        <v>33</v>
      </c>
      <c r="F3" s="23">
        <v>47344</v>
      </c>
      <c r="G3" s="23" t="str">
        <f>'كشف الانتاج'!C8</f>
        <v>كنتاكي</v>
      </c>
      <c r="H3" s="23">
        <f>SUMIF(sells[Product Name],sells[[#This Row],[Main Name]],sells[Amount])</f>
        <v>47344</v>
      </c>
      <c r="I3" s="23" t="s">
        <v>56</v>
      </c>
      <c r="J3" s="23" t="s">
        <v>50</v>
      </c>
      <c r="K3" s="23" t="s">
        <v>33</v>
      </c>
      <c r="L3" s="23">
        <v>40520</v>
      </c>
      <c r="M3" s="23">
        <f>SUMIF($K$3:$K$30,sells[[#This Row],[Main Name]],$L$3:$L$30)</f>
        <v>40520</v>
      </c>
      <c r="N3" s="23" t="s">
        <v>33</v>
      </c>
      <c r="O3" s="23">
        <f>M3-sells[[#This Row],[Transfer]]</f>
        <v>-6824</v>
      </c>
    </row>
    <row r="4" spans="1:15" ht="20.100000000000001" customHeight="1">
      <c r="A4" s="23" t="s">
        <v>35</v>
      </c>
      <c r="B4" s="23">
        <v>2060</v>
      </c>
      <c r="C4" s="23">
        <f>SUMIF(productionSection[Product Name],'كشف الانتاج'!C9,productionSection[Amount])</f>
        <v>0</v>
      </c>
      <c r="D4" s="121"/>
      <c r="E4" s="23" t="s">
        <v>35</v>
      </c>
      <c r="F4" s="23">
        <v>6806</v>
      </c>
      <c r="G4" s="23" t="str">
        <f>'كشف الانتاج'!C9</f>
        <v>كنتاكي اسمر</v>
      </c>
      <c r="H4" s="23">
        <f>SUMIF(sells[Product Name],sells[[#This Row],[Main Name]],sells[Amount])</f>
        <v>0</v>
      </c>
      <c r="I4" s="23" t="s">
        <v>93</v>
      </c>
      <c r="J4" s="23" t="s">
        <v>95</v>
      </c>
      <c r="K4" s="23" t="s">
        <v>35</v>
      </c>
      <c r="L4" s="23">
        <v>6098</v>
      </c>
      <c r="M4" s="23">
        <f>SUMIF($K$3:$K$30,sells[[#This Row],[Main Name]],$L$3:$L$30)</f>
        <v>400</v>
      </c>
      <c r="N4" s="23" t="s">
        <v>34</v>
      </c>
      <c r="O4" s="23">
        <f>M4-sells[[#This Row],[Transfer]]</f>
        <v>400</v>
      </c>
    </row>
    <row r="5" spans="1:15" ht="20.100000000000001" customHeight="1">
      <c r="A5" s="23" t="s">
        <v>35</v>
      </c>
      <c r="B5" s="23">
        <v>4883</v>
      </c>
      <c r="C5" s="23">
        <f>SUMIF(productionSection[Product Name],'كشف الانتاج'!C10,productionSection[Amount])</f>
        <v>6943</v>
      </c>
      <c r="D5" s="121"/>
      <c r="E5" s="23" t="s">
        <v>36</v>
      </c>
      <c r="F5" s="23">
        <v>6192</v>
      </c>
      <c r="G5" s="23" t="str">
        <f>'كشف الانتاج'!C10</f>
        <v>بركر 14 عادي</v>
      </c>
      <c r="H5" s="23">
        <f>SUMIF(sells[Product Name],sells[[#This Row],[Main Name]],sells[Amount])</f>
        <v>6806</v>
      </c>
      <c r="I5" s="23" t="s">
        <v>94</v>
      </c>
      <c r="K5" s="23" t="s">
        <v>36</v>
      </c>
      <c r="L5" s="23">
        <v>6378</v>
      </c>
      <c r="M5" s="23">
        <f>SUMIF($K$3:$K$30,sells[[#This Row],[Main Name]],$L$3:$L$30)</f>
        <v>6098</v>
      </c>
      <c r="N5" s="23" t="s">
        <v>35</v>
      </c>
      <c r="O5" s="23">
        <f>M5-sells[[#This Row],[Transfer]]</f>
        <v>-708</v>
      </c>
    </row>
    <row r="6" spans="1:15" ht="20.100000000000001" customHeight="1">
      <c r="A6" s="23" t="s">
        <v>45</v>
      </c>
      <c r="B6" s="23">
        <v>3276</v>
      </c>
      <c r="C6" s="23">
        <f>SUMIF(productionSection[Product Name],'كشف الانتاج'!C11,productionSection[Amount])</f>
        <v>6308</v>
      </c>
      <c r="D6" s="121"/>
      <c r="E6" s="23" t="s">
        <v>37</v>
      </c>
      <c r="F6" s="23">
        <v>1570</v>
      </c>
      <c r="G6" s="23" t="str">
        <f>'كشف الانتاج'!C11</f>
        <v>بركر 14 بوليش</v>
      </c>
      <c r="H6" s="23">
        <f>SUMIF(sells[Product Name],sells[[#This Row],[Main Name]],sells[Amount])</f>
        <v>6192</v>
      </c>
      <c r="K6" s="23" t="s">
        <v>37</v>
      </c>
      <c r="L6" s="23">
        <v>1258</v>
      </c>
      <c r="M6" s="23">
        <f>SUMIF($K$3:$K$30,sells[[#This Row],[Main Name]],$L$3:$L$30)</f>
        <v>6378</v>
      </c>
      <c r="N6" s="23" t="s">
        <v>36</v>
      </c>
      <c r="O6" s="23">
        <f>M6-sells[[#This Row],[Transfer]]</f>
        <v>186</v>
      </c>
    </row>
    <row r="7" spans="1:15" ht="20.100000000000001" customHeight="1">
      <c r="A7" s="23" t="s">
        <v>36</v>
      </c>
      <c r="B7" s="23">
        <v>1018</v>
      </c>
      <c r="C7" s="23">
        <f>SUMIF(productionSection[Product Name],'كشف الانتاج'!C12,productionSection[Amount])</f>
        <v>1680</v>
      </c>
      <c r="D7" s="121"/>
      <c r="E7" s="23" t="s">
        <v>40</v>
      </c>
      <c r="F7" s="23">
        <v>240</v>
      </c>
      <c r="G7" s="23" t="str">
        <f>'كشف الانتاج'!C12</f>
        <v>بركر 14 بطاطا</v>
      </c>
      <c r="H7" s="23">
        <f>SUMIF(sells[Product Name],sells[[#This Row],[Main Name]],sells[Amount])</f>
        <v>1570</v>
      </c>
      <c r="K7" s="23" t="s">
        <v>40</v>
      </c>
      <c r="L7" s="23">
        <v>256</v>
      </c>
      <c r="M7" s="23">
        <f>SUMIF($K$3:$K$30,sells[[#This Row],[Main Name]],$L$3:$L$30)</f>
        <v>1258</v>
      </c>
      <c r="N7" s="23" t="s">
        <v>37</v>
      </c>
      <c r="O7" s="23">
        <f>M7-sells[[#This Row],[Transfer]]</f>
        <v>-312</v>
      </c>
    </row>
    <row r="8" spans="1:15" ht="20.100000000000001" customHeight="1">
      <c r="A8" s="23" t="s">
        <v>36</v>
      </c>
      <c r="B8" s="23">
        <v>5290</v>
      </c>
      <c r="C8" s="23">
        <f>SUMIF(productionSection[Product Name],'كشف الانتاج'!C13,productionSection[Amount])</f>
        <v>1062</v>
      </c>
      <c r="D8" s="121"/>
      <c r="E8" s="23" t="s">
        <v>39</v>
      </c>
      <c r="F8" s="23">
        <v>576</v>
      </c>
      <c r="G8" s="23" t="str">
        <f>'كشف الانتاج'!C13</f>
        <v>بركر 13 بطاطا</v>
      </c>
      <c r="H8" s="23">
        <f>SUMIF(sells[Product Name],sells[[#This Row],[Main Name]],sells[Amount])</f>
        <v>1074</v>
      </c>
      <c r="K8" s="23" t="s">
        <v>39</v>
      </c>
      <c r="L8" s="23">
        <v>694</v>
      </c>
      <c r="M8" s="23">
        <f>SUMIF($K$3:$K$30,sells[[#This Row],[Main Name]],$L$3:$L$30)</f>
        <v>1198</v>
      </c>
      <c r="N8" s="23" t="s">
        <v>38</v>
      </c>
      <c r="O8" s="23">
        <f>M8-sells[[#This Row],[Transfer]]</f>
        <v>124</v>
      </c>
    </row>
    <row r="9" spans="1:15" ht="20.100000000000001" customHeight="1">
      <c r="A9" s="23" t="s">
        <v>46</v>
      </c>
      <c r="B9" s="23">
        <v>1456</v>
      </c>
      <c r="C9" s="23">
        <f>SUMIF(productionSection[Product Name],'كشف الانتاج'!C14,productionSection[Amount])</f>
        <v>860</v>
      </c>
      <c r="D9" s="121"/>
      <c r="E9" s="23" t="s">
        <v>38</v>
      </c>
      <c r="F9" s="23">
        <v>1074</v>
      </c>
      <c r="G9" s="23" t="str">
        <f>'كشف الانتاج'!C14</f>
        <v>بركر 13 بوليش</v>
      </c>
      <c r="H9" s="23">
        <f>SUMIF(sells[Product Name],sells[[#This Row],[Main Name]],sells[Amount])</f>
        <v>576</v>
      </c>
      <c r="K9" s="23" t="s">
        <v>38</v>
      </c>
      <c r="L9" s="23">
        <v>1198</v>
      </c>
      <c r="M9" s="23">
        <f>SUMIF($K$3:$K$30,sells[[#This Row],[Main Name]],$L$3:$L$30)</f>
        <v>694</v>
      </c>
      <c r="N9" s="23" t="s">
        <v>39</v>
      </c>
      <c r="O9" s="23">
        <f>M9-sells[[#This Row],[Transfer]]</f>
        <v>118</v>
      </c>
    </row>
    <row r="10" spans="1:15" ht="20.100000000000001" customHeight="1">
      <c r="A10" s="23" t="s">
        <v>37</v>
      </c>
      <c r="B10" s="23">
        <v>1056</v>
      </c>
      <c r="C10" s="23">
        <f>SUMIF(productionSection[Product Name],'كشف الانتاج'!C15,productionSection[Amount])</f>
        <v>360</v>
      </c>
      <c r="D10" s="121"/>
      <c r="E10" s="23" t="s">
        <v>44</v>
      </c>
      <c r="F10" s="23">
        <v>6128</v>
      </c>
      <c r="G10" s="23" t="str">
        <f>'كشف الانتاج'!C15</f>
        <v>بركر 13 عادي</v>
      </c>
      <c r="H10" s="23">
        <f>SUMIF(sells[Product Name],sells[[#This Row],[Main Name]],sells[Amount])</f>
        <v>240</v>
      </c>
      <c r="K10" s="23" t="s">
        <v>44</v>
      </c>
      <c r="L10" s="23">
        <v>6872</v>
      </c>
      <c r="M10" s="23">
        <f>SUMIF($K$3:$K$30,sells[[#This Row],[Main Name]],$L$3:$L$30)</f>
        <v>256</v>
      </c>
      <c r="N10" s="23" t="s">
        <v>40</v>
      </c>
      <c r="O10" s="23">
        <f>M10-sells[[#This Row],[Transfer]]</f>
        <v>16</v>
      </c>
    </row>
    <row r="11" spans="1:15" ht="20.100000000000001" customHeight="1">
      <c r="A11" s="23" t="s">
        <v>37</v>
      </c>
      <c r="B11" s="23">
        <v>624</v>
      </c>
      <c r="C11" s="23">
        <f>SUMIF(productionSection[Product Name],'كشف الانتاج'!C16,productionSection[Amount])</f>
        <v>624</v>
      </c>
      <c r="D11" s="121"/>
      <c r="E11" s="23" t="s">
        <v>45</v>
      </c>
      <c r="F11" s="23">
        <v>3044</v>
      </c>
      <c r="G11" s="23" t="str">
        <f>'كشف الانتاج'!C16</f>
        <v>بركر 10 عادي</v>
      </c>
      <c r="H11" s="23">
        <f>SUMIF(sells[Product Name],sells[[#This Row],[Main Name]],sells[Amount])</f>
        <v>970</v>
      </c>
      <c r="K11" s="23" t="s">
        <v>45</v>
      </c>
      <c r="L11" s="23">
        <v>2468</v>
      </c>
      <c r="M11" s="23">
        <f>SUMIF($K$3:$K$30,sells[[#This Row],[Main Name]],$L$3:$L$30)</f>
        <v>836</v>
      </c>
      <c r="N11" s="23" t="s">
        <v>41</v>
      </c>
      <c r="O11" s="23">
        <f>M11-sells[[#This Row],[Transfer]]</f>
        <v>-134</v>
      </c>
    </row>
    <row r="12" spans="1:15" ht="20.100000000000001" customHeight="1">
      <c r="A12" s="23" t="s">
        <v>47</v>
      </c>
      <c r="B12" s="23">
        <v>3240</v>
      </c>
      <c r="C12" s="23">
        <f>SUMIF(productionSection[Product Name],'كشف الانتاج'!C17,productionSection[Amount])</f>
        <v>0</v>
      </c>
      <c r="D12" s="121"/>
      <c r="E12" s="23" t="s">
        <v>48</v>
      </c>
      <c r="F12" s="23">
        <v>1525</v>
      </c>
      <c r="G12" s="23" t="str">
        <f>'كشف الانتاج'!C17</f>
        <v>بركر 10 بطاطا</v>
      </c>
      <c r="H12" s="23">
        <f>SUMIF(sells[Product Name],sells[[#This Row],[Main Name]],sells[Amount])</f>
        <v>0</v>
      </c>
      <c r="K12" s="23" t="s">
        <v>48</v>
      </c>
      <c r="L12" s="23">
        <v>1605</v>
      </c>
      <c r="M12" s="23">
        <f>SUMIF($K$3:$K$30,sells[[#This Row],[Main Name]],$L$3:$L$30)</f>
        <v>0</v>
      </c>
      <c r="N12" s="23" t="s">
        <v>42</v>
      </c>
      <c r="O12" s="23">
        <f>M12-sells[[#This Row],[Transfer]]</f>
        <v>0</v>
      </c>
    </row>
    <row r="13" spans="1:15" ht="20.100000000000001" customHeight="1">
      <c r="A13" s="23" t="s">
        <v>38</v>
      </c>
      <c r="B13" s="23">
        <v>104</v>
      </c>
      <c r="C13" s="23">
        <f>SUMIF(productionSection[Product Name],'كشف الانتاج'!C18,productionSection[Amount])</f>
        <v>240</v>
      </c>
      <c r="D13" s="121"/>
      <c r="E13" s="23" t="s">
        <v>46</v>
      </c>
      <c r="F13" s="23">
        <v>1416</v>
      </c>
      <c r="G13" s="23" t="str">
        <f>'كشف الانتاج'!C18</f>
        <v>مثلث</v>
      </c>
      <c r="H13" s="23">
        <f>SUMIF(sells[Product Name],sells[[#This Row],[Main Name]],sells[Amount])</f>
        <v>270</v>
      </c>
      <c r="K13" s="23" t="s">
        <v>46</v>
      </c>
      <c r="L13" s="23">
        <v>272</v>
      </c>
      <c r="M13" s="23">
        <f>SUMIF($K$3:$K$30,sells[[#This Row],[Main Name]],$L$3:$L$30)</f>
        <v>138</v>
      </c>
      <c r="N13" s="23" t="s">
        <v>43</v>
      </c>
      <c r="O13" s="23">
        <f>M13-sells[[#This Row],[Transfer]]</f>
        <v>-132</v>
      </c>
    </row>
    <row r="14" spans="1:15" ht="20.100000000000001" customHeight="1">
      <c r="A14" s="23" t="s">
        <v>38</v>
      </c>
      <c r="B14" s="23">
        <v>958</v>
      </c>
      <c r="C14" s="23">
        <f>SUMIF(productionSection[Product Name],'كشف الانتاج'!C19,productionSection[Amount])</f>
        <v>6139</v>
      </c>
      <c r="D14" s="121"/>
      <c r="E14" s="23" t="s">
        <v>47</v>
      </c>
      <c r="F14" s="23">
        <v>2885</v>
      </c>
      <c r="G14" s="23" t="str">
        <f>'كشف الانتاج'!C19</f>
        <v>فلر 26 عادي</v>
      </c>
      <c r="H14" s="23">
        <f>SUMIF(sells[Product Name],sells[[#This Row],[Main Name]],sells[Amount])</f>
        <v>6128</v>
      </c>
      <c r="K14" s="23" t="s">
        <v>47</v>
      </c>
      <c r="L14" s="23">
        <v>2550</v>
      </c>
      <c r="M14" s="23">
        <f>SUMIF($K$3:$K$30,sells[[#This Row],[Main Name]],$L$3:$L$30)</f>
        <v>6872</v>
      </c>
      <c r="N14" s="23" t="s">
        <v>44</v>
      </c>
      <c r="O14" s="23">
        <f>M14-sells[[#This Row],[Transfer]]</f>
        <v>744</v>
      </c>
    </row>
    <row r="15" spans="1:15" ht="20.100000000000001" customHeight="1">
      <c r="A15" s="23" t="s">
        <v>48</v>
      </c>
      <c r="B15" s="23">
        <v>2920</v>
      </c>
      <c r="C15" s="23">
        <f>SUMIF(productionSection[Product Name],'كشف الانتاج'!C20,productionSection[Amount])</f>
        <v>3276</v>
      </c>
      <c r="D15" s="121"/>
      <c r="E15" s="23" t="s">
        <v>56</v>
      </c>
      <c r="F15" s="23">
        <v>516</v>
      </c>
      <c r="G15" s="23" t="str">
        <f>'كشف الانتاج'!C20</f>
        <v>فلر 26 بوليش</v>
      </c>
      <c r="H15" s="23">
        <f>SUMIF(sells[Product Name],sells[[#This Row],[Main Name]],sells[Amount])</f>
        <v>3044</v>
      </c>
      <c r="K15" s="23" t="s">
        <v>56</v>
      </c>
      <c r="L15" s="23">
        <v>784</v>
      </c>
      <c r="M15" s="23">
        <f>SUMIF($K$3:$K$30,sells[[#This Row],[Main Name]],$L$3:$L$30)</f>
        <v>2468</v>
      </c>
      <c r="N15" s="23" t="s">
        <v>45</v>
      </c>
      <c r="O15" s="23">
        <f>M15-sells[[#This Row],[Transfer]]</f>
        <v>-576</v>
      </c>
    </row>
    <row r="16" spans="1:15" ht="20.100000000000001" customHeight="1">
      <c r="A16" s="23" t="s">
        <v>39</v>
      </c>
      <c r="B16" s="23">
        <v>0</v>
      </c>
      <c r="C16" s="23">
        <f>SUMIF(productionSection[Product Name],'كشف الانتاج'!C21,productionSection[Amount])</f>
        <v>1456</v>
      </c>
      <c r="D16" s="121"/>
      <c r="E16" s="23" t="s">
        <v>50</v>
      </c>
      <c r="F16" s="23">
        <v>50</v>
      </c>
      <c r="G16" s="23" t="str">
        <f>'كشف الانتاج'!C21</f>
        <v>فلر 26 سميد</v>
      </c>
      <c r="H16" s="23">
        <f>SUMIF(sells[Product Name],sells[[#This Row],[Main Name]],sells[Amount])</f>
        <v>1416</v>
      </c>
      <c r="K16" s="23" t="s">
        <v>50</v>
      </c>
      <c r="L16" s="23">
        <v>15</v>
      </c>
      <c r="M16" s="23">
        <f>SUMIF($K$3:$K$30,sells[[#This Row],[Main Name]],$L$3:$L$30)</f>
        <v>272</v>
      </c>
      <c r="N16" s="23" t="s">
        <v>46</v>
      </c>
      <c r="O16" s="23">
        <f>M16-sells[[#This Row],[Transfer]]</f>
        <v>-1144</v>
      </c>
    </row>
    <row r="17" spans="1:15" ht="20.100000000000001" customHeight="1">
      <c r="A17" s="23" t="s">
        <v>39</v>
      </c>
      <c r="B17" s="23">
        <v>860</v>
      </c>
      <c r="C17" s="23">
        <f>SUMIF(productionSection[Product Name],'كشف الانتاج'!C22,productionSection[Amount])</f>
        <v>3240</v>
      </c>
      <c r="D17" s="121"/>
      <c r="E17" s="23" t="s">
        <v>49</v>
      </c>
      <c r="F17" s="23">
        <v>222</v>
      </c>
      <c r="G17" s="23" t="str">
        <f>'كشف الانتاج'!C22</f>
        <v>دبل باسطون</v>
      </c>
      <c r="H17" s="23">
        <f>SUMIF(sells[Product Name],sells[[#This Row],[Main Name]],sells[Amount])</f>
        <v>2885</v>
      </c>
      <c r="K17" s="23" t="s">
        <v>49</v>
      </c>
      <c r="L17" s="23">
        <v>210</v>
      </c>
      <c r="M17" s="23">
        <f>SUMIF($K$3:$K$30,sells[[#This Row],[Main Name]],$L$3:$L$30)</f>
        <v>2550</v>
      </c>
      <c r="N17" s="23" t="s">
        <v>47</v>
      </c>
      <c r="O17" s="23">
        <f>M17-sells[[#This Row],[Transfer]]</f>
        <v>-335</v>
      </c>
    </row>
    <row r="18" spans="1:15" ht="20.100000000000001" customHeight="1">
      <c r="A18" s="23" t="s">
        <v>128</v>
      </c>
      <c r="B18" s="23">
        <v>0</v>
      </c>
      <c r="C18" s="23">
        <f>SUMIF(productionSection[Product Name],'كشف الانتاج'!C23,productionSection[Amount])</f>
        <v>2920</v>
      </c>
      <c r="D18" s="121"/>
      <c r="E18" s="23" t="s">
        <v>55</v>
      </c>
      <c r="F18" s="23">
        <v>20</v>
      </c>
      <c r="G18" s="23" t="str">
        <f>'كشف الانتاج'!C23</f>
        <v>سابوي</v>
      </c>
      <c r="H18" s="23">
        <f>SUMIF(sells[Product Name],sells[[#This Row],[Main Name]],sells[Amount])</f>
        <v>1525</v>
      </c>
      <c r="K18" s="23" t="s">
        <v>52</v>
      </c>
      <c r="L18" s="23">
        <v>20</v>
      </c>
      <c r="M18" s="23">
        <f>SUMIF($K$3:$K$30,sells[[#This Row],[Main Name]],$L$3:$L$30)</f>
        <v>1605</v>
      </c>
      <c r="N18" s="23" t="s">
        <v>48</v>
      </c>
      <c r="O18" s="23">
        <f>M18-sells[[#This Row],[Transfer]]</f>
        <v>80</v>
      </c>
    </row>
    <row r="19" spans="1:15" ht="20.100000000000001" customHeight="1">
      <c r="A19" s="23" t="s">
        <v>40</v>
      </c>
      <c r="B19" s="23">
        <v>0</v>
      </c>
      <c r="C19" s="23">
        <f>SUMIF(productionSection[Product Name],'كشف الانتاج'!C24,productionSection[Amount])</f>
        <v>0</v>
      </c>
      <c r="D19" s="121"/>
      <c r="E19" s="23" t="s">
        <v>43</v>
      </c>
      <c r="F19" s="23">
        <v>270</v>
      </c>
      <c r="G19" s="23" t="str">
        <f>'كشف الانتاج'!C24</f>
        <v>سابوي بوليش</v>
      </c>
      <c r="H19" s="23">
        <f>SUMIF(sells[Product Name],sells[[#This Row],[Main Name]],sells[Amount])</f>
        <v>1614</v>
      </c>
      <c r="K19" s="23" t="s">
        <v>55</v>
      </c>
      <c r="L19" s="23">
        <v>56</v>
      </c>
      <c r="M19" s="23">
        <f>SUMIF($K$3:$K$30,sells[[#This Row],[Main Name]],$L$3:$L$30)</f>
        <v>0</v>
      </c>
      <c r="N19" s="23" t="s">
        <v>49</v>
      </c>
      <c r="O19" s="23">
        <f>M19-sells[[#This Row],[Transfer]]</f>
        <v>-1614</v>
      </c>
    </row>
    <row r="20" spans="1:15" ht="20.100000000000001" customHeight="1">
      <c r="A20" s="23" t="s">
        <v>40</v>
      </c>
      <c r="B20" s="23">
        <v>360</v>
      </c>
      <c r="C20" s="23">
        <f>SUMIF(productionSection[Product Name],'كشف الانتاج'!C25,productionSection[Amount])</f>
        <v>224</v>
      </c>
      <c r="D20" s="121"/>
      <c r="E20" s="23" t="s">
        <v>54</v>
      </c>
      <c r="F20" s="23">
        <v>239</v>
      </c>
      <c r="G20" s="23" t="str">
        <f>'كشف الانتاج'!C25</f>
        <v>همام عادي</v>
      </c>
      <c r="H20" s="23">
        <f>SUMIF(sells[Product Name],sells[[#This Row],[Main Name]],sells[Amount])</f>
        <v>222</v>
      </c>
      <c r="K20" s="23" t="s">
        <v>43</v>
      </c>
      <c r="L20" s="23">
        <v>138</v>
      </c>
      <c r="M20" s="23">
        <f>SUMIF($K$3:$K$30,sells[[#This Row],[Main Name]],$L$3:$L$30)</f>
        <v>210</v>
      </c>
      <c r="N20" s="23" t="s">
        <v>50</v>
      </c>
      <c r="O20" s="23">
        <f>M20-sells[[#This Row],[Transfer]]</f>
        <v>-12</v>
      </c>
    </row>
    <row r="21" spans="1:15" ht="20.100000000000001" customHeight="1">
      <c r="A21" s="23" t="s">
        <v>49</v>
      </c>
      <c r="B21" s="23">
        <v>224</v>
      </c>
      <c r="C21" s="23">
        <f>SUMIF(productionSection[Product Name],'كشف الانتاج'!C26,productionSection[Amount])</f>
        <v>45</v>
      </c>
      <c r="D21" s="121"/>
      <c r="E21" s="23" t="s">
        <v>41</v>
      </c>
      <c r="F21" s="23">
        <v>970</v>
      </c>
      <c r="G21" s="23" t="str">
        <f>'كشف الانتاج'!C26</f>
        <v>همام مشرح</v>
      </c>
      <c r="H21" s="23" t="e">
        <f ca="1">summation_func(names[humam],sells[Product Name],sells[Amount])</f>
        <v>#NAME?</v>
      </c>
      <c r="K21" s="23" t="s">
        <v>54</v>
      </c>
      <c r="L21" s="23">
        <v>409</v>
      </c>
      <c r="M21" s="23">
        <f>SUMIF($K$3:$K$30,sells[[#This Row],[Main Name]],$L$3:$L$30)</f>
        <v>15</v>
      </c>
      <c r="N21" s="23" t="s">
        <v>51</v>
      </c>
      <c r="O21" s="23" t="e">
        <f ca="1">M21-sells[[#This Row],[Transfer]]</f>
        <v>#NAME?</v>
      </c>
    </row>
    <row r="22" spans="1:15" ht="20.100000000000001" customHeight="1">
      <c r="A22" s="23" t="s">
        <v>41</v>
      </c>
      <c r="B22" s="23">
        <v>0</v>
      </c>
      <c r="C22" s="23">
        <f>SUMIF(productionSection[Product Name],'كشف الانتاج'!C27,productionSection[Amount])</f>
        <v>0</v>
      </c>
      <c r="D22" s="121"/>
      <c r="E22" s="23" t="s">
        <v>129</v>
      </c>
      <c r="F22" s="23">
        <v>92</v>
      </c>
      <c r="G22" s="23" t="str">
        <f>'كشف الانتاج'!C27</f>
        <v>وسط باسطون</v>
      </c>
      <c r="H22" s="23">
        <f>SUMIF(sells[Product Name],sells[[#This Row],[Main Name]],sells[Amount])</f>
        <v>0</v>
      </c>
      <c r="K22" s="23" t="s">
        <v>122</v>
      </c>
      <c r="L22" s="23">
        <v>30</v>
      </c>
      <c r="M22" s="23">
        <f>SUMIF($K$3:$K$30,sells[[#This Row],[Main Name]],$L$3:$L$30)</f>
        <v>30</v>
      </c>
      <c r="N22" s="23" t="s">
        <v>52</v>
      </c>
      <c r="O22" s="23">
        <f>M22-sells[[#This Row],[Transfer]]</f>
        <v>30</v>
      </c>
    </row>
    <row r="23" spans="1:15" ht="20.100000000000001" customHeight="1">
      <c r="A23" s="23" t="s">
        <v>41</v>
      </c>
      <c r="B23" s="23">
        <v>624</v>
      </c>
      <c r="C23" s="23">
        <f>SUMIF(productionSection[Product Name],'كشف الانتاج'!C28,productionSection[Amount])</f>
        <v>0</v>
      </c>
      <c r="D23" s="121"/>
      <c r="E23" s="23" t="s">
        <v>130</v>
      </c>
      <c r="F23" s="23">
        <v>99</v>
      </c>
      <c r="G23" s="23" t="str">
        <f>'كشف الانتاج'!C28</f>
        <v>توست عادي</v>
      </c>
      <c r="H23" s="23">
        <f>SUMIF(sells[Product Name],sells[[#This Row],[Main Name]],sells[Amount])</f>
        <v>0</v>
      </c>
      <c r="K23" s="23" t="s">
        <v>41</v>
      </c>
      <c r="L23" s="23">
        <v>836</v>
      </c>
      <c r="M23" s="23">
        <f>SUMIF($K$3:$K$30,sells[[#This Row],[Main Name]],$L$3:$L$30)</f>
        <v>20</v>
      </c>
      <c r="N23" s="23" t="s">
        <v>53</v>
      </c>
      <c r="O23" s="23">
        <f>M23-sells[[#This Row],[Transfer]]</f>
        <v>20</v>
      </c>
    </row>
    <row r="24" spans="1:15" ht="20.100000000000001" customHeight="1">
      <c r="A24" s="23" t="s">
        <v>50</v>
      </c>
      <c r="B24" s="23">
        <v>45</v>
      </c>
      <c r="C24" s="23">
        <f>SUMIF(productionSection[Product Name],'كشف الانتاج'!C29,productionSection[Amount])</f>
        <v>0</v>
      </c>
      <c r="D24" s="121"/>
      <c r="E24" s="23" t="s">
        <v>124</v>
      </c>
      <c r="F24" s="23">
        <v>436</v>
      </c>
      <c r="G24" s="23" t="str">
        <f>'كشف الانتاج'!C29</f>
        <v>توست بطاطا</v>
      </c>
      <c r="H24" s="23">
        <f>SUMIF(sells[Product Name],sells[[#This Row],[Main Name]],sells[Amount])</f>
        <v>0</v>
      </c>
      <c r="K24" s="23" t="s">
        <v>95</v>
      </c>
      <c r="L24" s="23">
        <v>100</v>
      </c>
      <c r="M24" s="23">
        <f>SUMIF($K$3:$K$30,sells[[#This Row],[Main Name]],$L$3:$L$30)</f>
        <v>0</v>
      </c>
      <c r="N24" s="23" t="s">
        <v>54</v>
      </c>
      <c r="O24" s="23">
        <f>M24-sells[[#This Row],[Transfer]]</f>
        <v>0</v>
      </c>
    </row>
    <row r="25" spans="1:15" ht="20.100000000000001" customHeight="1">
      <c r="A25" s="23" t="s">
        <v>43</v>
      </c>
      <c r="B25" s="23">
        <v>0</v>
      </c>
      <c r="C25" s="23">
        <f>SUMIF(productionSection[Product Name],'كشف الانتاج'!C30,productionSection[Amount])</f>
        <v>0</v>
      </c>
      <c r="D25" s="121"/>
      <c r="E25" s="23" t="s">
        <v>121</v>
      </c>
      <c r="F25" s="23">
        <v>3179</v>
      </c>
      <c r="G25" s="23" t="str">
        <f>'كشف الانتاج'!C30</f>
        <v>عيش ابيض</v>
      </c>
      <c r="H25" s="23">
        <f>SUMIF(sells[Product Name],sells[[#This Row],[Main Name]],sells[Amount])</f>
        <v>239</v>
      </c>
      <c r="K25" s="23" t="s">
        <v>96</v>
      </c>
      <c r="L25" s="23">
        <v>147</v>
      </c>
      <c r="M25" s="23">
        <f>SUMIF($K$3:$K$30,sells[[#This Row],[Main Name]],$L$3:$L$30)</f>
        <v>409</v>
      </c>
      <c r="N25" s="23" t="s">
        <v>55</v>
      </c>
      <c r="O25" s="23">
        <f>M25-sells[[#This Row],[Transfer]]</f>
        <v>170</v>
      </c>
    </row>
    <row r="26" spans="1:15" ht="20.100000000000001" customHeight="1">
      <c r="A26" s="23" t="s">
        <v>43</v>
      </c>
      <c r="B26" s="23">
        <v>240</v>
      </c>
      <c r="C26" s="23">
        <f>SUMIF(productionSection[Product Name],'كشف الانتاج'!C31,productionSection[Amount])</f>
        <v>0</v>
      </c>
      <c r="D26" s="121"/>
      <c r="E26" s="23" t="s">
        <v>128</v>
      </c>
      <c r="F26" s="23">
        <v>1614</v>
      </c>
      <c r="G26" s="23" t="str">
        <f>'كشف الانتاج'!C31</f>
        <v>عيش اسمر</v>
      </c>
      <c r="H26" s="23">
        <f>SUMIF(sells[Product Name],sells[[#This Row],[Main Name]],sells[Amount])</f>
        <v>20</v>
      </c>
      <c r="K26" s="23" t="s">
        <v>59</v>
      </c>
      <c r="L26" s="23">
        <v>60</v>
      </c>
      <c r="M26" s="23">
        <f>SUMIF($K$3:$K$30,sells[[#This Row],[Main Name]],$L$3:$L$30)</f>
        <v>56</v>
      </c>
      <c r="N26" s="23" t="s">
        <v>56</v>
      </c>
      <c r="O26" s="23">
        <f>M26-sells[[#This Row],[Transfer]]</f>
        <v>36</v>
      </c>
    </row>
    <row r="27" spans="1:15" ht="20.100000000000001" customHeight="1">
      <c r="A27" s="23" t="s">
        <v>56</v>
      </c>
      <c r="B27" s="23">
        <v>0</v>
      </c>
      <c r="C27" s="23">
        <f>SUMIF(productionSection[Product Name],'كشف الانتاج'!C32,productionSection[Amount])</f>
        <v>388</v>
      </c>
      <c r="D27" s="121"/>
      <c r="E27" s="23" t="s">
        <v>127</v>
      </c>
      <c r="F27" s="23">
        <v>86507</v>
      </c>
      <c r="G27" s="23" t="str">
        <f>'كشف الانتاج'!C32</f>
        <v>بركر 11</v>
      </c>
      <c r="H27" s="23" t="e">
        <f ca="1">summation_func(names[burger 11],sells[Product Name],sells[Amount])</f>
        <v>#NAME?</v>
      </c>
      <c r="K27" s="23" t="s">
        <v>124</v>
      </c>
      <c r="L27" s="23">
        <v>342</v>
      </c>
      <c r="M27" s="23">
        <f>SUMIF($K$3:$K$30,sells[[#This Row],[Main Name]],$L$3:$L$30)</f>
        <v>784</v>
      </c>
      <c r="N27" s="23" t="s">
        <v>57</v>
      </c>
      <c r="O27" s="23" t="e">
        <f ca="1">M27-sells[[#This Row],[Transfer]]</f>
        <v>#NAME?</v>
      </c>
    </row>
    <row r="28" spans="1:15" ht="20.100000000000001" customHeight="1">
      <c r="A28" s="23" t="s">
        <v>58</v>
      </c>
      <c r="B28" s="23">
        <v>0</v>
      </c>
      <c r="C28" s="23">
        <f>SUMIF(productionSection[Product Name],'كشف الانتاج'!C33,productionSection[Amount])</f>
        <v>0</v>
      </c>
      <c r="D28" s="121"/>
      <c r="G28" s="23" t="str">
        <f>'كشف الانتاج'!C33</f>
        <v>باكيت</v>
      </c>
      <c r="H28" s="23">
        <f>SUMIF(sells[Product Name],sells[[#This Row],[Main Name]],sells[Amount])</f>
        <v>0</v>
      </c>
      <c r="K28" s="23" t="s">
        <v>121</v>
      </c>
      <c r="L28" s="23">
        <v>2577</v>
      </c>
      <c r="M28" s="23">
        <f>SUMIF($K$3:$K$30,sells[[#This Row],[Main Name]],$L$3:$L$30)</f>
        <v>0</v>
      </c>
      <c r="N28" s="23" t="s">
        <v>58</v>
      </c>
      <c r="O28" s="23">
        <f>M28-sells[[#This Row],[Transfer]]</f>
        <v>0</v>
      </c>
    </row>
    <row r="29" spans="1:15" ht="20.100000000000001" customHeight="1">
      <c r="A29" s="23" t="s">
        <v>58</v>
      </c>
      <c r="B29" s="23">
        <v>0</v>
      </c>
      <c r="C29" s="23">
        <f>SUMIF(productionSection[Product Name],'كشف الانتاج'!C34,productionSection[Amount])</f>
        <v>0</v>
      </c>
      <c r="D29" s="121"/>
      <c r="G29" s="23" t="str">
        <f>'كشف الانتاج'!C34</f>
        <v>وسط باكيت</v>
      </c>
      <c r="H29" s="23">
        <f>SUMIF(sells[Product Name],sells[[#This Row],[Main Name]],sells[Amount])</f>
        <v>0</v>
      </c>
      <c r="K29" s="23" t="s">
        <v>58</v>
      </c>
      <c r="L29" s="23">
        <v>140</v>
      </c>
      <c r="M29" s="23">
        <f>SUMIF($K$3:$K$30,sells[[#This Row],[Main Name]],$L$3:$L$30)</f>
        <v>140</v>
      </c>
      <c r="N29" s="23" t="s">
        <v>59</v>
      </c>
      <c r="O29" s="23">
        <f>M29-sells[[#This Row],[Transfer]]</f>
        <v>140</v>
      </c>
    </row>
    <row r="30" spans="1:15" ht="20.100000000000001" customHeight="1">
      <c r="A30" s="23" t="s">
        <v>35</v>
      </c>
      <c r="B30" s="23">
        <v>0</v>
      </c>
      <c r="C30" s="23">
        <f>SUMIF(productionSection[Product Name],'كشف الانتاج'!C35,productionSection[Amount])</f>
        <v>0</v>
      </c>
      <c r="D30" s="121"/>
      <c r="G30" s="23" t="str">
        <f>'كشف الانتاج'!C35</f>
        <v>بركر 13 شعير</v>
      </c>
      <c r="H30" s="23">
        <f>SUMIF(sells[Product Name],sells[[#This Row],[Main Name]],sells[Amount])</f>
        <v>0</v>
      </c>
      <c r="K30" s="23" t="s">
        <v>34</v>
      </c>
      <c r="L30" s="23">
        <v>400</v>
      </c>
      <c r="M30" s="23">
        <f>SUMIF($K$3:$K$30,sells[[#This Row],[Main Name]],$L$3:$L$30)</f>
        <v>60</v>
      </c>
      <c r="N30" s="23" t="s">
        <v>60</v>
      </c>
      <c r="O30" s="23">
        <f>M30-sells[[#This Row],[Transfer]]</f>
        <v>60</v>
      </c>
    </row>
    <row r="31" spans="1:15" ht="20.100000000000001" customHeight="1">
      <c r="A31" s="23" t="s">
        <v>56</v>
      </c>
      <c r="B31" s="23">
        <v>388</v>
      </c>
      <c r="C31" s="23">
        <f>SUMIF(productionSection[Product Name],'كشف الانتاج'!C36,productionSection[Amount])</f>
        <v>0</v>
      </c>
      <c r="D31" s="121"/>
      <c r="G31" s="23" t="str">
        <f>'كشف الانتاج'!C36</f>
        <v>توست اسمر</v>
      </c>
      <c r="H31" s="23">
        <f>SUMIF(sells[Product Name],sells[[#This Row],[Main Name]],sells[Amount])</f>
        <v>0</v>
      </c>
      <c r="N31" s="23" t="s">
        <v>61</v>
      </c>
      <c r="O31" s="23">
        <f>M31-sells[[#This Row],[Transfer]]</f>
        <v>0</v>
      </c>
    </row>
    <row r="32" spans="1:15" ht="20.100000000000001" customHeight="1">
      <c r="A32" s="23" t="s">
        <v>56</v>
      </c>
      <c r="B32" s="23">
        <v>0</v>
      </c>
      <c r="C32" s="23">
        <f>SUMIF(productionSection[Product Name],'كشف الانتاج'!C37,productionSection[Amount])</f>
        <v>0</v>
      </c>
      <c r="D32" s="121"/>
      <c r="G32" s="23" t="str">
        <f>'كشف الانتاج'!C37</f>
        <v>فلر 26 اسمر</v>
      </c>
      <c r="H32" s="23">
        <f>SUMIF(sells[Product Name],sells[[#This Row],[Main Name]],sells[Amount])</f>
        <v>0</v>
      </c>
    </row>
    <row r="33" spans="1:8" ht="20.100000000000001" customHeight="1">
      <c r="A33" s="23" t="s">
        <v>40</v>
      </c>
      <c r="B33" s="23">
        <v>0</v>
      </c>
      <c r="C33" s="23">
        <f>SUMIF(productionSection[Product Name],'كشف الانتاج'!C38,productionSection[Amount])</f>
        <v>0</v>
      </c>
      <c r="D33" s="121"/>
      <c r="G33" s="23">
        <f>'كشف الانتاج'!C38</f>
        <v>0</v>
      </c>
      <c r="H33" s="23">
        <f>SUMIF(sells[Product Name],sells[[#This Row],[Main Name]],sells[Amount])</f>
        <v>0</v>
      </c>
    </row>
    <row r="34" spans="1:8" ht="20.100000000000001" customHeight="1">
      <c r="A34" s="23" t="s">
        <v>44</v>
      </c>
      <c r="B34" s="23">
        <v>0</v>
      </c>
      <c r="C34" s="23">
        <f>SUMIF(productionSection[Product Name],'كشف الانتاج'!#REF!,productionSection[Amount])</f>
        <v>0</v>
      </c>
      <c r="D34" s="121"/>
      <c r="G34" s="23" t="e">
        <f>'كشف الانتاج'!#REF!</f>
        <v>#REF!</v>
      </c>
      <c r="H34" s="23">
        <f>SUMIF(sells[Product Name],sells[[#This Row],[Main Name]],sells[Amount])</f>
        <v>0</v>
      </c>
    </row>
    <row r="35" spans="1:8" ht="20.100000000000001" customHeight="1">
      <c r="A35" s="23" t="s">
        <v>44</v>
      </c>
      <c r="B35" s="23">
        <v>0</v>
      </c>
      <c r="C35" s="23">
        <f>SUMIF(productionSection[Product Name],'كشف الانتاج'!C40,productionSection[Amount])</f>
        <v>0</v>
      </c>
      <c r="D35" s="121"/>
      <c r="G35" s="23">
        <f>'كشف الانتاج'!C40</f>
        <v>0</v>
      </c>
      <c r="H35" s="23">
        <f>SUMIF(sells[Product Name],sells[[#This Row],[Main Name]],sells[Amount])</f>
        <v>0</v>
      </c>
    </row>
    <row r="36" spans="1:8" ht="20.100000000000001" customHeight="1">
      <c r="A36" s="23" t="s">
        <v>36</v>
      </c>
      <c r="B36" s="23">
        <v>0</v>
      </c>
      <c r="C36" s="23">
        <f>SUMIF(productionSection[Product Name],'كشف الانتاج'!C41,productionSection[Amount])</f>
        <v>0</v>
      </c>
      <c r="D36" s="121"/>
      <c r="G36" s="23">
        <f>'كشف الانتاج'!C41</f>
        <v>0</v>
      </c>
      <c r="H36" s="23">
        <f>SUMIF(sells[Product Name],sells[[#This Row],[Main Name]],sells[Amount])</f>
        <v>0</v>
      </c>
    </row>
    <row r="37" spans="1:8" ht="20.100000000000001" customHeight="1">
      <c r="A37" s="23" t="s">
        <v>59</v>
      </c>
      <c r="B37" s="23">
        <v>0</v>
      </c>
      <c r="C37" s="23">
        <f>SUMIF(productionSection[Product Name],'كشف الانتاج'!C42,productionSection[Amount])</f>
        <v>0</v>
      </c>
      <c r="D37" s="121"/>
      <c r="G37" s="23">
        <f>'كشف الانتاج'!C42</f>
        <v>0</v>
      </c>
      <c r="H37" s="23">
        <f>SUMIF(sells[Product Name],sells[[#This Row],[Main Name]],sells[Amount])</f>
        <v>0</v>
      </c>
    </row>
    <row r="38" spans="1:8" ht="20.100000000000001" customHeight="1">
      <c r="A38" s="23" t="s">
        <v>59</v>
      </c>
      <c r="B38" s="23">
        <v>0</v>
      </c>
      <c r="C38" s="23">
        <f>SUMIF(productionSection[Product Name],'كشف الانتاج'!C43,productionSection[Amount])</f>
        <v>0</v>
      </c>
      <c r="D38" s="121"/>
      <c r="G38" s="23">
        <f>'كشف الانتاج'!C43</f>
        <v>0</v>
      </c>
      <c r="H38" s="23">
        <f>SUMIF(sells[Product Name],sells[[#This Row],[Main Name]],sells[Amount])</f>
        <v>0</v>
      </c>
    </row>
    <row r="39" spans="1:8" ht="20.100000000000001" customHeight="1">
      <c r="A39" s="23" t="s">
        <v>33</v>
      </c>
      <c r="B39" s="23">
        <v>0</v>
      </c>
      <c r="C39" s="23">
        <f>SUMIF(productionSection[Product Name],'كشف الانتاج'!C44,productionSection[Amount])</f>
        <v>0</v>
      </c>
      <c r="D39" s="121"/>
      <c r="G39" s="23">
        <f>'كشف الانتاج'!C44</f>
        <v>0</v>
      </c>
      <c r="H39" s="23">
        <f>SUMIF(sells[Product Name],sells[[#This Row],[Main Name]],sells[Amount])</f>
        <v>0</v>
      </c>
    </row>
    <row r="40" spans="1:8" ht="20.100000000000001" customHeight="1">
      <c r="A40" s="23" t="s">
        <v>33</v>
      </c>
      <c r="B40" s="23">
        <v>7056</v>
      </c>
      <c r="C40" s="23">
        <f>SUMIF(productionSection[Product Name],'كشف الانتاج'!C45,productionSection[Amount])</f>
        <v>0</v>
      </c>
      <c r="D40" s="121"/>
      <c r="G40" s="23">
        <f>'كشف الانتاج'!C45</f>
        <v>0</v>
      </c>
      <c r="H40" s="23">
        <f>SUMIF(sells[Product Name],sells[[#This Row],[Main Name]],sells[Amount])</f>
        <v>0</v>
      </c>
    </row>
    <row r="41" spans="1:8" ht="20.100000000000001" customHeight="1">
      <c r="A41" s="23" t="s">
        <v>33</v>
      </c>
      <c r="B41" s="23">
        <v>33648</v>
      </c>
      <c r="C41" s="23">
        <f>SUMIF(productionSection[Product Name],'كشف الانتاج'!C46,productionSection[Amount])</f>
        <v>0</v>
      </c>
      <c r="D41" s="121"/>
      <c r="G41" s="23">
        <f>'كشف الانتاج'!C47</f>
        <v>0</v>
      </c>
      <c r="H41" s="23">
        <f>SUMIF(sells[Product Name],sells[[#This Row],[Main Name]],sells[Amount])</f>
        <v>0</v>
      </c>
    </row>
    <row r="42" spans="1:8" ht="20.100000000000001" customHeight="1">
      <c r="C42" s="23">
        <f>SUMIF(productionSection[Product Name],'كشف الانتاج'!C47,productionSection[Amount])</f>
        <v>0</v>
      </c>
    </row>
    <row r="43" spans="1:8" ht="20.100000000000001" customHeight="1">
      <c r="C43" s="23">
        <f>SUMIF(productionSection[Product Name],'كشف الانتاج'!C48,productionSection[Amount])</f>
        <v>0</v>
      </c>
    </row>
  </sheetData>
  <mergeCells count="4">
    <mergeCell ref="A1:C1"/>
    <mergeCell ref="E1:H1"/>
    <mergeCell ref="D1:D41"/>
    <mergeCell ref="I1:J1"/>
  </mergeCells>
  <pageMargins left="0.7" right="0.7" top="0.75" bottom="0.75" header="0.3" footer="0.3"/>
  <pageSetup paperSize="9" scale="42" orientation="portrait"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C7D9-541E-448C-9738-CEB7746A36C3}">
  <sheetPr codeName="Sheet5">
    <tabColor theme="5"/>
    <pageSetUpPr fitToPage="1"/>
  </sheetPr>
  <dimension ref="A1:Q111"/>
  <sheetViews>
    <sheetView rightToLeft="1" showWhiteSpace="0" view="pageBreakPreview" topLeftCell="A74" zoomScale="81" zoomScaleNormal="175" zoomScaleSheetLayoutView="81" workbookViewId="0">
      <selection activeCell="G88" sqref="G88"/>
    </sheetView>
  </sheetViews>
  <sheetFormatPr defaultColWidth="11.85546875" defaultRowHeight="21.95" customHeight="1"/>
  <cols>
    <col min="1" max="9" width="11.85546875" style="8"/>
    <col min="10" max="10" width="11.85546875" style="8" customWidth="1"/>
    <col min="11" max="16384" width="11.85546875" style="8"/>
  </cols>
  <sheetData>
    <row r="1" spans="1:15" s="6" customFormat="1" ht="80.099999999999994" customHeight="1">
      <c r="A1" s="5" t="s">
        <v>0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128</v>
      </c>
      <c r="H1" s="5" t="s">
        <v>49</v>
      </c>
      <c r="I1" s="5" t="s">
        <v>50</v>
      </c>
      <c r="J1" s="5" t="s">
        <v>56</v>
      </c>
      <c r="K1" s="5" t="s">
        <v>35</v>
      </c>
      <c r="L1" s="5" t="s">
        <v>40</v>
      </c>
      <c r="M1" s="5" t="s">
        <v>36</v>
      </c>
      <c r="N1" s="5" t="s">
        <v>33</v>
      </c>
      <c r="O1" s="5" t="s">
        <v>72</v>
      </c>
    </row>
    <row r="2" spans="1:15" ht="21.95" customHeight="1">
      <c r="A2" s="7">
        <v>1</v>
      </c>
      <c r="B2" s="7">
        <v>210</v>
      </c>
      <c r="C2" s="7">
        <v>364</v>
      </c>
      <c r="D2" s="7"/>
      <c r="E2" s="9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1.95" customHeight="1">
      <c r="A3" s="7">
        <v>2</v>
      </c>
      <c r="B3" s="7">
        <v>574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21.95" customHeight="1">
      <c r="A4" s="7">
        <v>3</v>
      </c>
      <c r="B4" s="7"/>
      <c r="C4" s="7"/>
      <c r="D4" s="7"/>
      <c r="E4" s="7"/>
      <c r="F4" s="7">
        <v>630</v>
      </c>
      <c r="G4" s="7"/>
      <c r="H4" s="7"/>
      <c r="I4" s="7"/>
      <c r="J4" s="7"/>
      <c r="K4" s="7"/>
      <c r="L4" s="7"/>
      <c r="M4" s="7"/>
      <c r="N4" s="7"/>
      <c r="O4" s="7"/>
    </row>
    <row r="5" spans="1:15" ht="21.95" customHeight="1">
      <c r="A5" s="7">
        <v>4</v>
      </c>
      <c r="B5" s="7">
        <v>238</v>
      </c>
      <c r="C5" s="7">
        <v>364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1.95" customHeight="1">
      <c r="A6" s="7">
        <v>5</v>
      </c>
      <c r="B6" s="7">
        <v>238</v>
      </c>
      <c r="C6" s="7">
        <v>364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21.95" customHeight="1">
      <c r="A7" s="7">
        <v>6</v>
      </c>
      <c r="B7" s="7"/>
      <c r="C7" s="7"/>
      <c r="D7" s="7"/>
      <c r="E7" s="7"/>
      <c r="F7" s="7">
        <v>650</v>
      </c>
      <c r="G7" s="7"/>
      <c r="H7" s="7"/>
      <c r="I7" s="7"/>
      <c r="J7" s="7"/>
      <c r="K7" s="7"/>
      <c r="L7" s="7"/>
      <c r="M7" s="7"/>
      <c r="N7" s="7"/>
      <c r="O7" s="7"/>
    </row>
    <row r="8" spans="1:15" ht="21.95" customHeight="1">
      <c r="A8" s="7">
        <v>7</v>
      </c>
      <c r="B8" s="7">
        <v>224</v>
      </c>
      <c r="C8" s="7"/>
      <c r="D8" s="7">
        <v>364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21.95" customHeight="1">
      <c r="A9" s="7">
        <v>8</v>
      </c>
      <c r="B9" s="7">
        <v>224</v>
      </c>
      <c r="C9" s="7">
        <v>364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21.95" customHeight="1">
      <c r="A10" s="7">
        <v>9</v>
      </c>
      <c r="B10" s="7">
        <v>602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21.95" customHeight="1">
      <c r="A11" s="7">
        <v>10</v>
      </c>
      <c r="B11" s="7"/>
      <c r="C11" s="7"/>
      <c r="D11" s="7"/>
      <c r="E11" s="7">
        <v>580</v>
      </c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21.95" customHeight="1">
      <c r="A12" s="7">
        <v>11</v>
      </c>
      <c r="B12" s="7">
        <v>224</v>
      </c>
      <c r="C12" s="7"/>
      <c r="D12" s="7">
        <v>364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21.95" customHeight="1">
      <c r="A13" s="7">
        <v>12</v>
      </c>
      <c r="B13" s="7"/>
      <c r="C13" s="7"/>
      <c r="D13" s="7"/>
      <c r="E13" s="7">
        <v>580</v>
      </c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21.95" customHeight="1">
      <c r="A14" s="7">
        <v>13</v>
      </c>
      <c r="B14" s="7"/>
      <c r="C14" s="7"/>
      <c r="D14" s="7"/>
      <c r="E14" s="7">
        <v>580</v>
      </c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21.95" customHeight="1">
      <c r="A15" s="7">
        <v>14</v>
      </c>
      <c r="B15" s="7">
        <v>252</v>
      </c>
      <c r="C15" s="7">
        <v>364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21.95" customHeight="1">
      <c r="A16" s="7">
        <v>15</v>
      </c>
      <c r="B16" s="7">
        <v>238</v>
      </c>
      <c r="C16" s="7">
        <v>364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21.95" customHeight="1">
      <c r="A17" s="7">
        <v>16</v>
      </c>
      <c r="B17" s="7"/>
      <c r="C17" s="7"/>
      <c r="D17" s="7"/>
      <c r="E17" s="7"/>
      <c r="F17" s="7">
        <v>630</v>
      </c>
      <c r="G17" s="7"/>
      <c r="H17" s="7"/>
      <c r="I17" s="7"/>
      <c r="J17" s="7"/>
      <c r="K17" s="7"/>
      <c r="L17" s="7"/>
      <c r="M17" s="7"/>
      <c r="N17" s="7"/>
      <c r="O17" s="7"/>
    </row>
    <row r="18" spans="1:15" ht="21.95" customHeight="1">
      <c r="A18" s="7">
        <v>17</v>
      </c>
      <c r="B18" s="7">
        <v>252</v>
      </c>
      <c r="C18" s="7"/>
      <c r="D18" s="7">
        <v>364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21.95" customHeight="1">
      <c r="A19" s="7">
        <v>18</v>
      </c>
      <c r="B19" s="7">
        <v>588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21.95" customHeight="1">
      <c r="A20" s="7">
        <v>19</v>
      </c>
      <c r="B20" s="7">
        <v>210</v>
      </c>
      <c r="C20" s="7">
        <v>364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21.95" customHeight="1">
      <c r="A21" s="7">
        <v>20</v>
      </c>
      <c r="B21" s="7">
        <v>224</v>
      </c>
      <c r="C21" s="7">
        <v>364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21.95" customHeight="1">
      <c r="A22" s="7">
        <v>21</v>
      </c>
      <c r="B22" s="7">
        <v>602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21.95" customHeight="1">
      <c r="A23" s="7">
        <v>22</v>
      </c>
      <c r="B23" s="7">
        <v>588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21.95" customHeight="1">
      <c r="A24" s="7">
        <v>23</v>
      </c>
      <c r="B24" s="7"/>
      <c r="C24" s="7"/>
      <c r="D24" s="7"/>
      <c r="E24" s="7">
        <v>580</v>
      </c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21.95" customHeight="1">
      <c r="A25" s="7">
        <v>24</v>
      </c>
      <c r="B25" s="7">
        <v>84</v>
      </c>
      <c r="C25" s="7"/>
      <c r="D25" s="7">
        <v>364</v>
      </c>
      <c r="E25" s="7"/>
      <c r="F25" s="7"/>
      <c r="G25" s="7"/>
      <c r="H25" s="7">
        <v>224</v>
      </c>
      <c r="I25" s="7">
        <v>45</v>
      </c>
      <c r="J25" s="7"/>
      <c r="K25" s="7"/>
      <c r="L25" s="7"/>
      <c r="M25" s="7"/>
      <c r="N25" s="7"/>
      <c r="O25" s="7"/>
    </row>
    <row r="26" spans="1:15" ht="21.95" customHeight="1">
      <c r="A26" s="7">
        <v>25</v>
      </c>
      <c r="B26" s="7"/>
      <c r="C26" s="7"/>
      <c r="D26" s="7"/>
      <c r="E26" s="7"/>
      <c r="F26" s="7">
        <v>630</v>
      </c>
      <c r="G26" s="7"/>
      <c r="H26" s="7"/>
      <c r="I26" s="7"/>
      <c r="J26" s="7"/>
      <c r="K26" s="7"/>
      <c r="L26" s="7"/>
      <c r="M26" s="7"/>
      <c r="N26" s="7"/>
      <c r="O26" s="7"/>
    </row>
    <row r="27" spans="1:15" ht="21.95" customHeight="1">
      <c r="A27" s="7">
        <v>26</v>
      </c>
      <c r="B27" s="7"/>
      <c r="C27" s="7"/>
      <c r="D27" s="7"/>
      <c r="E27" s="7">
        <v>200</v>
      </c>
      <c r="F27" s="7">
        <v>380</v>
      </c>
      <c r="G27" s="7"/>
      <c r="H27" s="7"/>
      <c r="I27" s="7"/>
      <c r="J27" s="7"/>
      <c r="K27" s="7"/>
      <c r="L27" s="7"/>
      <c r="M27" s="7"/>
      <c r="N27" s="7"/>
      <c r="O27" s="7"/>
    </row>
    <row r="28" spans="1:15" ht="21.95" customHeight="1">
      <c r="A28" s="7">
        <v>27</v>
      </c>
      <c r="B28" s="7">
        <v>21</v>
      </c>
      <c r="C28" s="7">
        <v>364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21.95" customHeight="1">
      <c r="A29" s="7">
        <v>28</v>
      </c>
      <c r="B29" s="7">
        <v>182</v>
      </c>
      <c r="C29" s="7"/>
      <c r="D29" s="7"/>
      <c r="E29" s="7">
        <v>380</v>
      </c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21.95" customHeight="1">
      <c r="A30" s="7">
        <v>29</v>
      </c>
      <c r="B30" s="7">
        <v>364</v>
      </c>
      <c r="C30" s="7"/>
      <c r="D30" s="7"/>
      <c r="E30" s="7">
        <v>340</v>
      </c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21.95" customHeight="1">
      <c r="A31" s="7">
        <v>30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21.95" customHeight="1">
      <c r="A32" s="7">
        <v>31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21.95" customHeight="1">
      <c r="A33" s="7">
        <v>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21.95" customHeight="1">
      <c r="A34" s="7">
        <v>33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21.95" customHeight="1">
      <c r="A35" s="7">
        <v>34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21.95" customHeight="1">
      <c r="A36" s="7">
        <v>35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21.95" customHeight="1">
      <c r="A37" s="9" t="s">
        <v>73</v>
      </c>
      <c r="B37" s="9">
        <f t="shared" ref="B37:N37" si="0">SUBTOTAL(109,B2:B36)</f>
        <v>6139</v>
      </c>
      <c r="C37" s="9">
        <f t="shared" si="0"/>
        <v>3276</v>
      </c>
      <c r="D37" s="9">
        <f t="shared" si="0"/>
        <v>1456</v>
      </c>
      <c r="E37" s="9">
        <f t="shared" si="0"/>
        <v>3240</v>
      </c>
      <c r="F37" s="9">
        <f t="shared" si="0"/>
        <v>2920</v>
      </c>
      <c r="G37" s="9">
        <f t="shared" si="0"/>
        <v>0</v>
      </c>
      <c r="H37" s="9">
        <f t="shared" si="0"/>
        <v>224</v>
      </c>
      <c r="I37" s="9">
        <f t="shared" si="0"/>
        <v>45</v>
      </c>
      <c r="J37" s="9">
        <f t="shared" si="0"/>
        <v>0</v>
      </c>
      <c r="K37" s="9">
        <f t="shared" si="0"/>
        <v>0</v>
      </c>
      <c r="L37" s="9">
        <f t="shared" si="0"/>
        <v>0</v>
      </c>
      <c r="M37" s="9">
        <f t="shared" si="0"/>
        <v>0</v>
      </c>
      <c r="N37" s="9">
        <f t="shared" si="0"/>
        <v>0</v>
      </c>
      <c r="O37" s="10">
        <v>29</v>
      </c>
    </row>
    <row r="38" spans="1:15" ht="80.099999999999994" customHeight="1">
      <c r="A38" s="5" t="s">
        <v>0</v>
      </c>
      <c r="B38" s="5" t="s">
        <v>35</v>
      </c>
      <c r="C38" s="5" t="s">
        <v>36</v>
      </c>
      <c r="D38" s="5" t="s">
        <v>37</v>
      </c>
      <c r="E38" s="5" t="s">
        <v>38</v>
      </c>
      <c r="F38" s="5" t="s">
        <v>39</v>
      </c>
      <c r="G38" s="5" t="s">
        <v>40</v>
      </c>
      <c r="H38" s="5" t="s">
        <v>41</v>
      </c>
      <c r="I38" s="5" t="s">
        <v>43</v>
      </c>
      <c r="J38" s="5" t="s">
        <v>58</v>
      </c>
      <c r="K38" s="5" t="s">
        <v>56</v>
      </c>
      <c r="L38" s="5" t="s">
        <v>44</v>
      </c>
      <c r="M38" s="5" t="s">
        <v>59</v>
      </c>
      <c r="N38" s="5" t="s">
        <v>33</v>
      </c>
      <c r="O38" s="5" t="s">
        <v>72</v>
      </c>
    </row>
    <row r="39" spans="1:15" ht="21.95" customHeight="1">
      <c r="A39" s="7">
        <v>1</v>
      </c>
      <c r="B39" s="7"/>
      <c r="C39" s="7"/>
      <c r="D39" s="7">
        <v>612</v>
      </c>
      <c r="E39" s="99"/>
      <c r="F39" s="99"/>
      <c r="G39" s="7"/>
      <c r="H39" s="99"/>
      <c r="I39" s="99"/>
      <c r="J39" s="99"/>
      <c r="K39" s="99"/>
      <c r="L39" s="7"/>
      <c r="M39" s="7"/>
      <c r="N39" s="7"/>
      <c r="O39" s="7"/>
    </row>
    <row r="40" spans="1:15" ht="21.95" customHeight="1">
      <c r="A40" s="7">
        <v>2</v>
      </c>
      <c r="B40" s="7"/>
      <c r="C40" s="7"/>
      <c r="D40" s="7">
        <v>444</v>
      </c>
      <c r="E40" s="7">
        <v>260</v>
      </c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21.95" customHeight="1">
      <c r="A41" s="7">
        <v>3</v>
      </c>
      <c r="B41" s="7">
        <v>300</v>
      </c>
      <c r="C41" s="7">
        <v>312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21.95" customHeight="1">
      <c r="A42" s="7">
        <v>4</v>
      </c>
      <c r="B42" s="7"/>
      <c r="C42" s="7"/>
      <c r="D42" s="7"/>
      <c r="E42" s="7"/>
      <c r="F42" s="7"/>
      <c r="G42" s="7"/>
      <c r="H42" s="7"/>
      <c r="I42" s="7"/>
      <c r="J42" s="7"/>
      <c r="K42" s="7">
        <v>580</v>
      </c>
      <c r="L42" s="7"/>
      <c r="M42" s="7"/>
      <c r="N42" s="7"/>
      <c r="O42" s="7"/>
    </row>
    <row r="43" spans="1:15" ht="21.95" customHeight="1">
      <c r="A43" s="7">
        <v>5</v>
      </c>
      <c r="B43" s="7">
        <v>300</v>
      </c>
      <c r="C43" s="7">
        <v>312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21.95" customHeight="1">
      <c r="A44" s="7">
        <v>6</v>
      </c>
      <c r="B44" s="7">
        <v>312</v>
      </c>
      <c r="C44" s="7">
        <v>312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21.95" customHeight="1">
      <c r="A45" s="7">
        <v>7</v>
      </c>
      <c r="B45" s="7">
        <v>300</v>
      </c>
      <c r="C45" s="7">
        <v>312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21.95" customHeight="1">
      <c r="A46" s="7">
        <v>8</v>
      </c>
      <c r="B46" s="7">
        <v>624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21.95" customHeight="1">
      <c r="A47" s="7">
        <v>9</v>
      </c>
      <c r="B47" s="7">
        <v>624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21.95" customHeight="1">
      <c r="A48" s="7">
        <v>10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>
        <v>2352</v>
      </c>
      <c r="O48" s="7"/>
    </row>
    <row r="49" spans="1:15" ht="21.95" customHeight="1">
      <c r="A49" s="7">
        <v>11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>
        <v>2352</v>
      </c>
      <c r="O49" s="7"/>
    </row>
    <row r="50" spans="1:15" ht="21.95" customHeight="1">
      <c r="A50" s="7">
        <v>12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2352</v>
      </c>
      <c r="O50" s="7"/>
    </row>
    <row r="51" spans="1:15" ht="21.95" customHeight="1">
      <c r="A51" s="7">
        <v>13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21.95" customHeight="1">
      <c r="A52" s="7">
        <v>14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21.95" customHeight="1">
      <c r="A53" s="7">
        <v>15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21.95" customHeight="1">
      <c r="A54" s="7">
        <v>16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21.95" customHeight="1">
      <c r="A55" s="7">
        <v>17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21.95" customHeight="1">
      <c r="A56" s="7">
        <v>18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21.95" customHeight="1">
      <c r="A57" s="7">
        <v>19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21.95" customHeight="1">
      <c r="A58" s="7">
        <v>20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21.95" customHeight="1">
      <c r="A59" s="7">
        <v>21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21.95" customHeight="1">
      <c r="A60" s="7">
        <v>22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21.95" customHeight="1">
      <c r="A61" s="7">
        <v>23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21.95" customHeight="1">
      <c r="A62" s="7">
        <v>24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21.95" customHeight="1">
      <c r="A63" s="7">
        <v>25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21.95" customHeight="1">
      <c r="A64" s="7">
        <v>26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7" ht="21.95" customHeight="1">
      <c r="A65" s="7">
        <v>27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7" ht="21.95" customHeight="1">
      <c r="A66" s="7">
        <v>28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7" ht="21.95" customHeight="1">
      <c r="A67" s="7">
        <v>29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7" ht="21.95" customHeight="1">
      <c r="A68" s="7">
        <v>30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7" ht="21.95" customHeight="1">
      <c r="A69" s="7">
        <v>31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7" ht="21.95" customHeight="1">
      <c r="A70" s="7">
        <v>32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7" ht="21.95" customHeight="1">
      <c r="A71" s="7">
        <v>33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7" ht="21.95" customHeight="1">
      <c r="A72" s="7">
        <v>34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7" ht="21.95" customHeight="1">
      <c r="A73" s="7">
        <v>35</v>
      </c>
      <c r="B73" s="7">
        <v>-400</v>
      </c>
      <c r="C73" s="7">
        <v>-230</v>
      </c>
      <c r="D73" s="7"/>
      <c r="E73" s="7">
        <v>-156</v>
      </c>
      <c r="F73" s="7"/>
      <c r="G73" s="7"/>
      <c r="H73" s="7"/>
      <c r="I73" s="7"/>
      <c r="J73" s="7"/>
      <c r="K73" s="7">
        <v>-192</v>
      </c>
      <c r="L73" s="7"/>
      <c r="M73" s="7"/>
      <c r="N73" s="7"/>
      <c r="O73" s="7"/>
    </row>
    <row r="74" spans="1:17" ht="21.95" customHeight="1">
      <c r="A74" s="9" t="s">
        <v>73</v>
      </c>
      <c r="B74" s="9">
        <f t="shared" ref="B74:N74" si="1">SUBTOTAL(109,B39:B73)</f>
        <v>2060</v>
      </c>
      <c r="C74" s="9">
        <f t="shared" si="1"/>
        <v>1018</v>
      </c>
      <c r="D74" s="9">
        <f t="shared" si="1"/>
        <v>1056</v>
      </c>
      <c r="E74" s="9">
        <f t="shared" si="1"/>
        <v>104</v>
      </c>
      <c r="F74" s="9">
        <f t="shared" si="1"/>
        <v>0</v>
      </c>
      <c r="G74" s="9">
        <f t="shared" si="1"/>
        <v>0</v>
      </c>
      <c r="H74" s="9">
        <f t="shared" si="1"/>
        <v>0</v>
      </c>
      <c r="I74" s="9">
        <f t="shared" si="1"/>
        <v>0</v>
      </c>
      <c r="J74" s="9">
        <f t="shared" si="1"/>
        <v>0</v>
      </c>
      <c r="K74" s="9">
        <f t="shared" si="1"/>
        <v>388</v>
      </c>
      <c r="L74" s="9">
        <f t="shared" si="1"/>
        <v>0</v>
      </c>
      <c r="M74" s="9">
        <f t="shared" si="1"/>
        <v>0</v>
      </c>
      <c r="N74" s="9">
        <f t="shared" si="1"/>
        <v>7056</v>
      </c>
      <c r="O74" s="10">
        <v>11.5</v>
      </c>
    </row>
    <row r="75" spans="1:17" ht="80.099999999999994" customHeight="1">
      <c r="A75" s="5" t="s">
        <v>0</v>
      </c>
      <c r="B75" s="5" t="s">
        <v>35</v>
      </c>
      <c r="C75" s="5" t="s">
        <v>36</v>
      </c>
      <c r="D75" s="5" t="s">
        <v>37</v>
      </c>
      <c r="E75" s="5" t="s">
        <v>38</v>
      </c>
      <c r="F75" s="5" t="s">
        <v>39</v>
      </c>
      <c r="G75" s="5" t="s">
        <v>40</v>
      </c>
      <c r="H75" s="5" t="s">
        <v>41</v>
      </c>
      <c r="I75" s="5" t="s">
        <v>43</v>
      </c>
      <c r="J75" s="5" t="s">
        <v>58</v>
      </c>
      <c r="K75" s="5" t="s">
        <v>56</v>
      </c>
      <c r="L75" s="5" t="s">
        <v>44</v>
      </c>
      <c r="M75" s="5" t="s">
        <v>59</v>
      </c>
      <c r="N75" s="5" t="s">
        <v>33</v>
      </c>
      <c r="O75" s="5" t="s">
        <v>72</v>
      </c>
    </row>
    <row r="76" spans="1:17" ht="21.95" customHeight="1">
      <c r="A76" s="7">
        <v>1</v>
      </c>
      <c r="B76" s="7"/>
      <c r="C76" s="7">
        <v>298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>
        <v>1248</v>
      </c>
      <c r="O76" s="7"/>
      <c r="P76" s="95"/>
      <c r="Q76" s="6"/>
    </row>
    <row r="77" spans="1:17" ht="21.95" customHeight="1">
      <c r="A77" s="7">
        <v>2</v>
      </c>
      <c r="B77" s="7"/>
      <c r="C77" s="7"/>
      <c r="D77" s="7"/>
      <c r="E77" s="7">
        <v>120</v>
      </c>
      <c r="F77" s="7"/>
      <c r="G77" s="7"/>
      <c r="H77" s="7"/>
      <c r="I77" s="7"/>
      <c r="J77" s="7"/>
      <c r="K77" s="7"/>
      <c r="L77" s="7"/>
      <c r="M77" s="7"/>
      <c r="N77" s="7">
        <v>1200</v>
      </c>
      <c r="O77" s="7"/>
    </row>
    <row r="78" spans="1:17" ht="21.95" customHeight="1">
      <c r="A78" s="7">
        <v>3</v>
      </c>
      <c r="B78" s="7">
        <v>312</v>
      </c>
      <c r="C78" s="7">
        <v>312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7" ht="21.95" customHeight="1">
      <c r="A79" s="7">
        <v>4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>
        <v>2400</v>
      </c>
      <c r="O79" s="7"/>
    </row>
    <row r="80" spans="1:17" ht="21.95" customHeight="1">
      <c r="A80" s="7">
        <v>5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>
        <v>2448</v>
      </c>
      <c r="O80" s="7"/>
    </row>
    <row r="81" spans="1:15" ht="21.95" customHeight="1">
      <c r="A81" s="7">
        <v>6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>
        <v>2448</v>
      </c>
      <c r="O81" s="7"/>
    </row>
    <row r="82" spans="1:15" ht="21.95" customHeight="1">
      <c r="A82" s="7">
        <v>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>
        <v>2496</v>
      </c>
      <c r="O82" s="7"/>
    </row>
    <row r="83" spans="1:15" ht="21.95" customHeight="1">
      <c r="A83" s="7">
        <v>8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>
        <v>2400</v>
      </c>
      <c r="O83" s="7"/>
    </row>
    <row r="84" spans="1:15" ht="21.95" customHeight="1">
      <c r="A84" s="7">
        <v>9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>
        <v>2304</v>
      </c>
      <c r="O84" s="7"/>
    </row>
    <row r="85" spans="1:15" ht="21.95" customHeight="1">
      <c r="A85" s="7">
        <v>10</v>
      </c>
      <c r="B85" s="7"/>
      <c r="C85" s="7"/>
      <c r="D85" s="7"/>
      <c r="E85" s="7">
        <v>838</v>
      </c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21.95" customHeight="1">
      <c r="A86" s="7">
        <v>11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>
        <v>2496</v>
      </c>
      <c r="O86" s="7"/>
    </row>
    <row r="87" spans="1:15" ht="21.95" customHeight="1">
      <c r="A87" s="7">
        <v>12</v>
      </c>
      <c r="B87" s="7"/>
      <c r="C87" s="7"/>
      <c r="D87" s="7"/>
      <c r="E87" s="7"/>
      <c r="F87" s="7"/>
      <c r="G87" s="7">
        <v>60</v>
      </c>
      <c r="H87" s="7"/>
      <c r="I87" s="7"/>
      <c r="J87" s="7"/>
      <c r="K87" s="7"/>
      <c r="L87" s="7"/>
      <c r="M87" s="7"/>
      <c r="N87" s="7">
        <v>2400</v>
      </c>
      <c r="O87" s="7"/>
    </row>
    <row r="88" spans="1:15" ht="21.95" customHeight="1">
      <c r="A88" s="7">
        <v>13</v>
      </c>
      <c r="B88" s="7">
        <v>312</v>
      </c>
      <c r="C88" s="7">
        <v>312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21.95" customHeight="1">
      <c r="A89" s="7">
        <v>14</v>
      </c>
      <c r="B89" s="7">
        <v>312</v>
      </c>
      <c r="C89" s="7">
        <v>312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21.95" customHeight="1">
      <c r="A90" s="7">
        <v>15</v>
      </c>
      <c r="B90" s="7">
        <v>300</v>
      </c>
      <c r="C90" s="7">
        <v>312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21.95" customHeight="1">
      <c r="A91" s="7">
        <v>16</v>
      </c>
      <c r="B91" s="7">
        <v>288</v>
      </c>
      <c r="C91" s="7">
        <v>312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21.95" customHeight="1">
      <c r="A92" s="7">
        <v>17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>
        <v>2496</v>
      </c>
      <c r="O92" s="7"/>
    </row>
    <row r="93" spans="1:15" ht="21.95" customHeight="1">
      <c r="A93" s="7">
        <v>18</v>
      </c>
      <c r="B93" s="7">
        <v>308</v>
      </c>
      <c r="C93" s="7">
        <v>312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21.95" customHeight="1">
      <c r="A94" s="7">
        <v>19</v>
      </c>
      <c r="B94" s="7">
        <v>300</v>
      </c>
      <c r="C94" s="7">
        <v>312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21.95" customHeight="1">
      <c r="A95" s="7">
        <v>20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>
        <v>2208</v>
      </c>
      <c r="O95" s="7"/>
    </row>
    <row r="96" spans="1:15" ht="21.95" customHeight="1">
      <c r="A96" s="7">
        <v>21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>
        <v>2496</v>
      </c>
      <c r="O96" s="7"/>
    </row>
    <row r="97" spans="1:15" ht="21.95" customHeight="1">
      <c r="A97" s="7">
        <v>22</v>
      </c>
      <c r="B97" s="7"/>
      <c r="C97" s="7"/>
      <c r="D97" s="7"/>
      <c r="E97" s="7"/>
      <c r="F97" s="7">
        <v>860</v>
      </c>
      <c r="G97" s="7"/>
      <c r="H97" s="7"/>
      <c r="I97" s="7"/>
      <c r="J97" s="7"/>
      <c r="K97" s="7"/>
      <c r="L97" s="7"/>
      <c r="M97" s="7"/>
      <c r="N97" s="7"/>
      <c r="O97" s="7"/>
    </row>
    <row r="98" spans="1:15" ht="21.95" customHeight="1">
      <c r="A98" s="7">
        <v>23</v>
      </c>
      <c r="B98" s="7">
        <v>312</v>
      </c>
      <c r="C98" s="7">
        <v>312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27.75" customHeight="1">
      <c r="A99" s="7">
        <v>24</v>
      </c>
      <c r="B99" s="7">
        <v>312</v>
      </c>
      <c r="C99" s="7">
        <v>312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21.95" customHeight="1">
      <c r="A100" s="7">
        <v>25</v>
      </c>
      <c r="B100" s="7">
        <v>288</v>
      </c>
      <c r="C100" s="7">
        <v>312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21.95" customHeight="1">
      <c r="A101" s="7">
        <v>26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>
        <v>2400</v>
      </c>
      <c r="O101" s="7"/>
    </row>
    <row r="102" spans="1:15" ht="21.95" customHeight="1">
      <c r="A102" s="7">
        <v>27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>
        <v>2208</v>
      </c>
      <c r="O102" s="7"/>
    </row>
    <row r="103" spans="1:15" ht="21.95" customHeight="1">
      <c r="A103" s="7">
        <v>28</v>
      </c>
      <c r="B103" s="7"/>
      <c r="C103" s="7"/>
      <c r="D103" s="7"/>
      <c r="E103" s="7"/>
      <c r="F103" s="7"/>
      <c r="G103" s="7">
        <v>300</v>
      </c>
      <c r="H103" s="7">
        <v>624</v>
      </c>
      <c r="I103" s="7">
        <v>240</v>
      </c>
      <c r="J103" s="7"/>
      <c r="K103" s="7"/>
      <c r="L103" s="7"/>
      <c r="M103" s="7"/>
      <c r="N103" s="7"/>
      <c r="O103" s="7"/>
    </row>
    <row r="104" spans="1:15" ht="21.95" customHeight="1">
      <c r="A104" s="7">
        <v>29</v>
      </c>
      <c r="B104" s="7"/>
      <c r="C104" s="7"/>
      <c r="D104" s="7">
        <v>624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21.95" customHeight="1">
      <c r="A105" s="7">
        <v>30</v>
      </c>
      <c r="B105" s="7">
        <v>312</v>
      </c>
      <c r="C105" s="7">
        <v>312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21.95" customHeight="1">
      <c r="A106" s="7">
        <v>31</v>
      </c>
      <c r="B106" s="7">
        <v>312</v>
      </c>
      <c r="C106" s="7">
        <v>312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21.95" customHeight="1">
      <c r="A107" s="7">
        <v>32</v>
      </c>
      <c r="B107" s="7">
        <v>300</v>
      </c>
      <c r="C107" s="7">
        <v>312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21.95" customHeight="1">
      <c r="A108" s="7">
        <v>33</v>
      </c>
      <c r="B108" s="7">
        <v>312</v>
      </c>
      <c r="C108" s="7">
        <v>312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21.95" customHeight="1">
      <c r="A109" s="7">
        <v>34</v>
      </c>
      <c r="B109" s="7">
        <v>308</v>
      </c>
      <c r="C109" s="7">
        <v>312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21.95" customHeight="1">
      <c r="A110" s="7">
        <v>35</v>
      </c>
      <c r="B110" s="7">
        <v>295</v>
      </c>
      <c r="C110" s="7">
        <v>312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21.95" customHeight="1">
      <c r="A111" s="9" t="s">
        <v>73</v>
      </c>
      <c r="B111" s="9">
        <f>SUM(B76:B110)</f>
        <v>4883</v>
      </c>
      <c r="C111" s="9">
        <f>SUM(C76:C110)</f>
        <v>5290</v>
      </c>
      <c r="D111" s="9">
        <f t="shared" ref="D111:N111" si="2">SUM(D76:D110)</f>
        <v>624</v>
      </c>
      <c r="E111" s="9">
        <f t="shared" si="2"/>
        <v>958</v>
      </c>
      <c r="F111" s="9">
        <f t="shared" si="2"/>
        <v>860</v>
      </c>
      <c r="G111" s="9">
        <f t="shared" si="2"/>
        <v>360</v>
      </c>
      <c r="H111" s="9">
        <f t="shared" si="2"/>
        <v>624</v>
      </c>
      <c r="I111" s="9">
        <f t="shared" si="2"/>
        <v>240</v>
      </c>
      <c r="J111" s="9">
        <f t="shared" si="2"/>
        <v>0</v>
      </c>
      <c r="K111" s="9">
        <f t="shared" si="2"/>
        <v>0</v>
      </c>
      <c r="L111" s="9">
        <f t="shared" si="2"/>
        <v>0</v>
      </c>
      <c r="M111" s="9">
        <f t="shared" si="2"/>
        <v>0</v>
      </c>
      <c r="N111" s="9">
        <f t="shared" si="2"/>
        <v>33648</v>
      </c>
      <c r="O111" s="10">
        <v>35</v>
      </c>
    </row>
  </sheetData>
  <phoneticPr fontId="9" type="noConversion"/>
  <pageMargins left="0" right="0" top="0" bottom="0" header="0" footer="0"/>
  <pageSetup paperSize="9" scale="22" orientation="landscape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609F-41C3-4C5F-86DB-7D4C5723F9B4}">
  <sheetPr codeName="Sheet7">
    <tabColor theme="5"/>
    <pageSetUpPr fitToPage="1"/>
  </sheetPr>
  <dimension ref="A1:W31"/>
  <sheetViews>
    <sheetView rightToLeft="1" view="pageBreakPreview" topLeftCell="A11" zoomScaleNormal="100" zoomScaleSheetLayoutView="100" workbookViewId="0">
      <selection activeCell="F27" sqref="F27"/>
    </sheetView>
  </sheetViews>
  <sheetFormatPr defaultColWidth="10.7109375" defaultRowHeight="31.5" customHeight="1"/>
  <cols>
    <col min="1" max="2" width="10.7109375" style="15"/>
    <col min="3" max="3" width="20.7109375" style="15" customWidth="1"/>
    <col min="4" max="16384" width="10.7109375" style="15"/>
  </cols>
  <sheetData>
    <row r="1" spans="1:23" ht="31.5" customHeight="1">
      <c r="A1" s="20" t="s">
        <v>0</v>
      </c>
      <c r="B1" s="20" t="s">
        <v>114</v>
      </c>
      <c r="C1" s="20" t="s">
        <v>32</v>
      </c>
      <c r="D1" s="123" t="s">
        <v>75</v>
      </c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20" t="s">
        <v>76</v>
      </c>
      <c r="V1" s="20" t="s">
        <v>78</v>
      </c>
      <c r="W1" s="20" t="s">
        <v>77</v>
      </c>
    </row>
    <row r="2" spans="1:23" ht="31.5" customHeight="1">
      <c r="A2" s="16">
        <v>1</v>
      </c>
      <c r="B2" s="16">
        <f>'كشف الانتاج'!B8</f>
        <v>1</v>
      </c>
      <c r="C2" s="16" t="str">
        <f>IF(B2&lt;&gt;"",VLOOKUP(B2,sammary[[رمز المادة]:[اسم المادة]],2,FALSE),"")</f>
        <v>كنتاكي</v>
      </c>
      <c r="D2" s="105">
        <v>400</v>
      </c>
      <c r="E2" s="17">
        <v>400</v>
      </c>
      <c r="F2" s="17">
        <v>19780</v>
      </c>
      <c r="G2" s="17">
        <v>5650</v>
      </c>
      <c r="H2" s="17">
        <v>4300</v>
      </c>
      <c r="I2" s="17">
        <v>1263</v>
      </c>
      <c r="J2" s="17">
        <v>6723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8" t="e">
        <f t="shared" ref="U2:U31" ca="1" si="0">SUM(D2:T2)+V2</f>
        <v>#NAME?</v>
      </c>
      <c r="V2" s="18" t="e">
        <f ca="1">Transfer(B2,transferTable[ر.م.مستورد],transferTable[ر.م.مصدر],transferTable[الكمية])</f>
        <v>#NAME?</v>
      </c>
      <c r="W2" s="18" t="e">
        <f ca="1">'كشف الانتاج'!M8</f>
        <v>#NAME?</v>
      </c>
    </row>
    <row r="3" spans="1:23" ht="31.5" customHeight="1">
      <c r="A3" s="16">
        <v>2</v>
      </c>
      <c r="B3" s="16">
        <f>'كشف الانتاج'!B9</f>
        <v>12</v>
      </c>
      <c r="C3" s="16" t="str">
        <f>IF(B3&lt;&gt;"",VLOOKUP(B3,sammary[[رمز المادة]:[اسم المادة]],2,FALSE),"")</f>
        <v>كنتاكي اسمر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 t="e">
        <f t="shared" ca="1" si="0"/>
        <v>#NAME?</v>
      </c>
      <c r="V3" s="18" t="e">
        <f ca="1">Transfer(B3,transferTable[ر.م.مستورد],transferTable[ر.م.مصدر],transferTable[الكمية])</f>
        <v>#NAME?</v>
      </c>
      <c r="W3" s="18" t="e">
        <f ca="1">'كشف الانتاج'!M9</f>
        <v>#NAME?</v>
      </c>
    </row>
    <row r="4" spans="1:23" ht="31.5" customHeight="1">
      <c r="A4" s="16">
        <v>3</v>
      </c>
      <c r="B4" s="16">
        <f>'كشف الانتاج'!B10</f>
        <v>141</v>
      </c>
      <c r="C4" s="16" t="str">
        <f>IF(B4&lt;&gt;"",VLOOKUP(B4,sammary[[رمز المادة]:[اسم المادة]],2,FALSE),"")</f>
        <v>بركر 14 عادي</v>
      </c>
      <c r="D4" s="17">
        <v>1400</v>
      </c>
      <c r="E4" s="17">
        <v>600</v>
      </c>
      <c r="F4" s="17">
        <v>200</v>
      </c>
      <c r="G4" s="17">
        <v>800</v>
      </c>
      <c r="H4" s="17">
        <v>340</v>
      </c>
      <c r="I4" s="17">
        <v>1000</v>
      </c>
      <c r="J4" s="17">
        <v>128</v>
      </c>
      <c r="K4" s="17">
        <v>1600</v>
      </c>
      <c r="L4" s="17">
        <v>470</v>
      </c>
      <c r="M4" s="17"/>
      <c r="N4" s="17"/>
      <c r="O4" s="17"/>
      <c r="P4" s="17"/>
      <c r="Q4" s="17"/>
      <c r="R4" s="17"/>
      <c r="S4" s="17"/>
      <c r="T4" s="17"/>
      <c r="U4" s="18" t="e">
        <f t="shared" ca="1" si="0"/>
        <v>#NAME?</v>
      </c>
      <c r="V4" s="18" t="e">
        <f ca="1">Transfer(B4,transferTable[ر.م.مستورد],transferTable[ر.م.مصدر],transferTable[الكمية])</f>
        <v>#NAME?</v>
      </c>
      <c r="W4" s="18" t="e">
        <f ca="1">'كشف الانتاج'!M10</f>
        <v>#NAME?</v>
      </c>
    </row>
    <row r="5" spans="1:23" ht="31.5" customHeight="1">
      <c r="A5" s="16">
        <v>4</v>
      </c>
      <c r="B5" s="16">
        <f>'كشف الانتاج'!B11</f>
        <v>142</v>
      </c>
      <c r="C5" s="16" t="str">
        <f>IF(B5&lt;&gt;"",VLOOKUP(B5,sammary[[رمز المادة]:[اسم المادة]],2,FALSE),"")</f>
        <v>بركر 14 بوليش</v>
      </c>
      <c r="D5" s="17">
        <v>200</v>
      </c>
      <c r="E5" s="17">
        <v>1600</v>
      </c>
      <c r="F5" s="17">
        <v>400</v>
      </c>
      <c r="G5" s="17">
        <v>200</v>
      </c>
      <c r="H5" s="17">
        <v>170</v>
      </c>
      <c r="I5" s="17">
        <v>340</v>
      </c>
      <c r="J5" s="17">
        <v>400</v>
      </c>
      <c r="K5" s="17">
        <v>510</v>
      </c>
      <c r="L5" s="17">
        <v>110</v>
      </c>
      <c r="M5" s="17">
        <v>400</v>
      </c>
      <c r="N5" s="17">
        <v>612</v>
      </c>
      <c r="O5" s="17">
        <v>218</v>
      </c>
      <c r="P5" s="17"/>
      <c r="Q5" s="17"/>
      <c r="R5" s="17"/>
      <c r="S5" s="17"/>
      <c r="T5" s="17"/>
      <c r="U5" s="18" t="e">
        <f t="shared" ca="1" si="0"/>
        <v>#NAME?</v>
      </c>
      <c r="V5" s="18" t="e">
        <f ca="1">Transfer(B5,transferTable[ر.م.مستورد],transferTable[ر.م.مصدر],transferTable[الكمية])</f>
        <v>#NAME?</v>
      </c>
      <c r="W5" s="18" t="e">
        <f ca="1">'كشف الانتاج'!M11</f>
        <v>#NAME?</v>
      </c>
    </row>
    <row r="6" spans="1:23" ht="31.5" customHeight="1">
      <c r="A6" s="16">
        <v>5</v>
      </c>
      <c r="B6" s="16">
        <f>'كشف الانتاج'!B12</f>
        <v>143</v>
      </c>
      <c r="C6" s="16" t="str">
        <f>IF(B6&lt;&gt;"",VLOOKUP(B6,sammary[[رمز المادة]:[اسم المادة]],2,FALSE),"")</f>
        <v>بركر 14 بطاطا</v>
      </c>
      <c r="D6" s="17">
        <v>400</v>
      </c>
      <c r="E6" s="17">
        <v>200</v>
      </c>
      <c r="F6" s="17">
        <v>140</v>
      </c>
      <c r="G6" s="17">
        <v>850</v>
      </c>
      <c r="H6" s="17">
        <v>16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8" t="e">
        <f t="shared" ca="1" si="0"/>
        <v>#NAME?</v>
      </c>
      <c r="V6" s="18" t="e">
        <f ca="1">Transfer(B6,transferTable[ر.م.مستورد],transferTable[ر.م.مصدر],transferTable[الكمية])</f>
        <v>#NAME?</v>
      </c>
      <c r="W6" s="18" t="e">
        <f ca="1">'كشف الانتاج'!M12</f>
        <v>#NAME?</v>
      </c>
    </row>
    <row r="7" spans="1:23" ht="31.5" customHeight="1">
      <c r="A7" s="16">
        <v>6</v>
      </c>
      <c r="B7" s="16">
        <f>'كشف الانتاج'!B13</f>
        <v>133</v>
      </c>
      <c r="C7" s="16" t="str">
        <f>IF(B7&lt;&gt;"",VLOOKUP(B7,sammary[[رمز المادة]:[اسم المادة]],2,FALSE),"")</f>
        <v>بركر 13 بطاطا</v>
      </c>
      <c r="D7" s="17">
        <v>240</v>
      </c>
      <c r="E7" s="17">
        <v>240</v>
      </c>
      <c r="F7" s="17">
        <v>156</v>
      </c>
      <c r="G7" s="17">
        <v>186</v>
      </c>
      <c r="H7" s="17">
        <v>257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 t="e">
        <f t="shared" ca="1" si="0"/>
        <v>#NAME?</v>
      </c>
      <c r="V7" s="18" t="e">
        <f ca="1">Transfer(B7,transferTable[ر.م.مستورد],transferTable[ر.م.مصدر],transferTable[الكمية])</f>
        <v>#NAME?</v>
      </c>
      <c r="W7" s="18" t="e">
        <f ca="1">'كشف الانتاج'!M13</f>
        <v>#NAME?</v>
      </c>
    </row>
    <row r="8" spans="1:23" ht="31.5" customHeight="1">
      <c r="A8" s="16">
        <v>7</v>
      </c>
      <c r="B8" s="16">
        <f>'كشف الانتاج'!B14</f>
        <v>132</v>
      </c>
      <c r="C8" s="16" t="str">
        <f>IF(B8&lt;&gt;"",VLOOKUP(B8,sammary[[رمز المادة]:[اسم المادة]],2,FALSE),"")</f>
        <v>بركر 13 بوليش</v>
      </c>
      <c r="D8" s="17">
        <v>240</v>
      </c>
      <c r="E8" s="17">
        <v>240</v>
      </c>
      <c r="F8" s="17">
        <v>240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 t="e">
        <f t="shared" ca="1" si="0"/>
        <v>#NAME?</v>
      </c>
      <c r="V8" s="18" t="e">
        <f ca="1">Transfer(B8,transferTable[ر.م.مستورد],transferTable[ر.م.مصدر],transferTable[الكمية])</f>
        <v>#NAME?</v>
      </c>
      <c r="W8" s="18" t="e">
        <f ca="1">'كشف الانتاج'!M14</f>
        <v>#NAME?</v>
      </c>
    </row>
    <row r="9" spans="1:23" ht="31.5" customHeight="1">
      <c r="A9" s="16">
        <v>8</v>
      </c>
      <c r="B9" s="16">
        <f>'كشف الانتاج'!B15</f>
        <v>131</v>
      </c>
      <c r="C9" s="16" t="s">
        <v>40</v>
      </c>
      <c r="D9" s="17">
        <v>264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 t="e">
        <f t="shared" ca="1" si="0"/>
        <v>#NAME?</v>
      </c>
      <c r="V9" s="18" t="e">
        <f ca="1">Transfer(B9,transferTable[ر.م.مستورد],transferTable[ر.م.مصدر],transferTable[الكمية])</f>
        <v>#NAME?</v>
      </c>
      <c r="W9" s="18" t="e">
        <f ca="1">'كشف الانتاج'!M15</f>
        <v>#NAME?</v>
      </c>
    </row>
    <row r="10" spans="1:23" ht="31.5" customHeight="1">
      <c r="A10" s="16">
        <v>9</v>
      </c>
      <c r="B10" s="16">
        <f>'كشف الانتاج'!B16</f>
        <v>101</v>
      </c>
      <c r="C10" s="16" t="str">
        <f>IF(B10&lt;&gt;"",VLOOKUP(B10,sammary[[رمز المادة]:[اسم المادة]],2,FALSE),"")</f>
        <v>بركر 10 عادي</v>
      </c>
      <c r="D10" s="17">
        <v>468</v>
      </c>
      <c r="E10" s="17">
        <v>150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 t="e">
        <f t="shared" ca="1" si="0"/>
        <v>#NAME?</v>
      </c>
      <c r="V10" s="18" t="e">
        <f ca="1">Transfer(B10,transferTable[ر.م.مستورد],transferTable[ر.م.مصدر],transferTable[الكمية])</f>
        <v>#NAME?</v>
      </c>
      <c r="W10" s="18" t="e">
        <f ca="1">'كشف الانتاج'!M16</f>
        <v>#NAME?</v>
      </c>
    </row>
    <row r="11" spans="1:23" ht="31.5" customHeight="1">
      <c r="A11" s="16">
        <v>10</v>
      </c>
      <c r="B11" s="16">
        <f>'كشف الانتاج'!B17</f>
        <v>102</v>
      </c>
      <c r="C11" s="16" t="str">
        <f>IF(B11&lt;&gt;"",VLOOKUP(B11,sammary[[رمز المادة]:[اسم المادة]],2,FALSE),"")</f>
        <v>بركر 10 بطاطا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 t="e">
        <f t="shared" ca="1" si="0"/>
        <v>#NAME?</v>
      </c>
      <c r="V11" s="18" t="e">
        <f ca="1">Transfer(B11,transferTable[ر.م.مستورد],transferTable[ر.م.مصدر],transferTable[الكمية])</f>
        <v>#NAME?</v>
      </c>
      <c r="W11" s="18" t="e">
        <f ca="1">'كشف الانتاج'!M17</f>
        <v>#NAME?</v>
      </c>
    </row>
    <row r="12" spans="1:23" ht="31.5" customHeight="1">
      <c r="A12" s="16">
        <v>11</v>
      </c>
      <c r="B12" s="16">
        <f>'كشف الانتاج'!B18</f>
        <v>666</v>
      </c>
      <c r="C12" s="16" t="str">
        <f>IF(B12&lt;&gt;"",VLOOKUP(B12,sammary[[رمز المادة]:[اسم المادة]],2,FALSE),"")</f>
        <v>مثلث</v>
      </c>
      <c r="D12" s="17">
        <v>239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8" t="e">
        <f t="shared" ca="1" si="0"/>
        <v>#NAME?</v>
      </c>
      <c r="V12" s="18" t="e">
        <f ca="1">Transfer(B12,transferTable[ر.م.مستورد],transferTable[ر.م.مصدر],transferTable[الكمية])</f>
        <v>#NAME?</v>
      </c>
      <c r="W12" s="18" t="e">
        <f ca="1">'كشف الانتاج'!M18</f>
        <v>#NAME?</v>
      </c>
    </row>
    <row r="13" spans="1:23" ht="31.5" customHeight="1">
      <c r="A13" s="16">
        <v>12</v>
      </c>
      <c r="B13" s="16">
        <f>'كشف الانتاج'!B19</f>
        <v>261</v>
      </c>
      <c r="C13" s="16" t="str">
        <f>IF(B13&lt;&gt;"",VLOOKUP(B13,sammary[[رمز المادة]:[اسم المادة]],2,FALSE),"")</f>
        <v>فلر 26 عادي</v>
      </c>
      <c r="D13" s="17">
        <v>400</v>
      </c>
      <c r="E13" s="17">
        <v>1100</v>
      </c>
      <c r="F13" s="17">
        <v>600</v>
      </c>
      <c r="G13" s="17">
        <v>600</v>
      </c>
      <c r="H13" s="17">
        <v>760</v>
      </c>
      <c r="I13" s="17">
        <v>180</v>
      </c>
      <c r="J13" s="17">
        <v>100</v>
      </c>
      <c r="K13" s="17">
        <v>170</v>
      </c>
      <c r="L13" s="17">
        <v>800</v>
      </c>
      <c r="M13" s="17">
        <v>200</v>
      </c>
      <c r="N13" s="17">
        <v>380</v>
      </c>
      <c r="O13" s="17">
        <v>266</v>
      </c>
      <c r="P13" s="17">
        <v>160</v>
      </c>
      <c r="Q13" s="17">
        <v>354</v>
      </c>
      <c r="R13" s="17"/>
      <c r="S13" s="17"/>
      <c r="T13" s="17"/>
      <c r="U13" s="18" t="e">
        <f t="shared" ca="1" si="0"/>
        <v>#NAME?</v>
      </c>
      <c r="V13" s="18" t="e">
        <f ca="1">Transfer(B13,transferTable[ر.م.مستورد],transferTable[ر.م.مصدر],transferTable[الكمية])</f>
        <v>#NAME?</v>
      </c>
      <c r="W13" s="18" t="e">
        <f ca="1">'كشف الانتاج'!M19</f>
        <v>#NAME?</v>
      </c>
    </row>
    <row r="14" spans="1:23" ht="31.5" customHeight="1">
      <c r="A14" s="16">
        <v>13</v>
      </c>
      <c r="B14" s="16">
        <f>'كشف الانتاج'!B20</f>
        <v>262</v>
      </c>
      <c r="C14" s="16" t="str">
        <f>IF(B14&lt;&gt;"",VLOOKUP(B14,sammary[[رمز المادة]:[اسم المادة]],2,FALSE),"")</f>
        <v>فلر 26 بوليش</v>
      </c>
      <c r="D14" s="17">
        <v>900</v>
      </c>
      <c r="E14" s="17">
        <v>1000</v>
      </c>
      <c r="F14" s="17">
        <v>160</v>
      </c>
      <c r="G14" s="17">
        <v>230</v>
      </c>
      <c r="H14" s="17">
        <v>150</v>
      </c>
      <c r="I14" s="17">
        <v>96</v>
      </c>
      <c r="J14" s="17">
        <v>600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 t="e">
        <f t="shared" ca="1" si="0"/>
        <v>#NAME?</v>
      </c>
      <c r="V14" s="18" t="e">
        <f ca="1">Transfer(B14,transferTable[ر.م.مستورد],transferTable[ر.م.مصدر],transferTable[الكمية])</f>
        <v>#NAME?</v>
      </c>
      <c r="W14" s="18" t="e">
        <f ca="1">'كشف الانتاج'!M20</f>
        <v>#NAME?</v>
      </c>
    </row>
    <row r="15" spans="1:23" ht="31.5" customHeight="1">
      <c r="A15" s="16">
        <v>14</v>
      </c>
      <c r="B15" s="16">
        <f>'كشف الانتاج'!B21</f>
        <v>263</v>
      </c>
      <c r="C15" s="16" t="str">
        <f>IF(B15&lt;&gt;"",VLOOKUP(B15,sammary[[رمز المادة]:[اسم المادة]],2,FALSE),"")</f>
        <v>فلر 26 سميد</v>
      </c>
      <c r="D15" s="17">
        <v>1000</v>
      </c>
      <c r="E15" s="17">
        <v>300</v>
      </c>
      <c r="F15" s="17">
        <v>58</v>
      </c>
      <c r="G15" s="17">
        <v>38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 t="e">
        <f t="shared" ca="1" si="0"/>
        <v>#NAME?</v>
      </c>
      <c r="V15" s="18" t="e">
        <f ca="1">Transfer(B15,transferTable[ر.م.مستورد],transferTable[ر.م.مصدر],transferTable[الكمية])</f>
        <v>#NAME?</v>
      </c>
      <c r="W15" s="18" t="e">
        <f ca="1">'كشف الانتاج'!M21</f>
        <v>#NAME?</v>
      </c>
    </row>
    <row r="16" spans="1:23" ht="31.5" customHeight="1">
      <c r="A16" s="16">
        <v>15</v>
      </c>
      <c r="B16" s="16">
        <f>'كشف الانتاج'!B22</f>
        <v>32</v>
      </c>
      <c r="C16" s="16" t="str">
        <f>IF(B16&lt;&gt;"",VLOOKUP(B16,sammary[[رمز المادة]:[اسم المادة]],2,FALSE),"")</f>
        <v>دبل باسطون</v>
      </c>
      <c r="D16" s="17">
        <v>800</v>
      </c>
      <c r="E16" s="17">
        <v>200</v>
      </c>
      <c r="F16" s="17">
        <v>600</v>
      </c>
      <c r="G16" s="17">
        <v>115</v>
      </c>
      <c r="H16" s="17">
        <v>400</v>
      </c>
      <c r="I16" s="17">
        <v>220</v>
      </c>
      <c r="J16" s="17">
        <v>400</v>
      </c>
      <c r="K16" s="17">
        <v>110</v>
      </c>
      <c r="L16" s="17"/>
      <c r="M16" s="17"/>
      <c r="N16" s="17"/>
      <c r="O16" s="17"/>
      <c r="P16" s="17"/>
      <c r="Q16" s="17"/>
      <c r="R16" s="17"/>
      <c r="S16" s="17"/>
      <c r="T16" s="17"/>
      <c r="U16" s="18" t="e">
        <f t="shared" ca="1" si="0"/>
        <v>#NAME?</v>
      </c>
      <c r="V16" s="18" t="e">
        <f ca="1">Transfer(B16,transferTable[ر.م.مستورد],transferTable[ر.م.مصدر],transferTable[الكمية])</f>
        <v>#NAME?</v>
      </c>
      <c r="W16" s="18" t="e">
        <f ca="1">'كشف الانتاج'!M22</f>
        <v>#NAME?</v>
      </c>
    </row>
    <row r="17" spans="1:23" ht="31.5" customHeight="1">
      <c r="A17" s="16">
        <v>16</v>
      </c>
      <c r="B17" s="16">
        <f>'كشف الانتاج'!B23</f>
        <v>301</v>
      </c>
      <c r="C17" s="16" t="str">
        <f>IF(B17&lt;&gt;"",VLOOKUP(B17,sammary[[رمز المادة]:[اسم المادة]],2,FALSE),"")</f>
        <v>سابوي</v>
      </c>
      <c r="D17" s="17">
        <v>600</v>
      </c>
      <c r="E17" s="17">
        <v>600</v>
      </c>
      <c r="F17" s="17">
        <v>110</v>
      </c>
      <c r="G17" s="17">
        <v>95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8" t="e">
        <f t="shared" ca="1" si="0"/>
        <v>#NAME?</v>
      </c>
      <c r="V17" s="18" t="e">
        <f ca="1">Transfer(B17,transferTable[ر.م.مستورد],transferTable[ر.م.مصدر],transferTable[الكمية])</f>
        <v>#NAME?</v>
      </c>
      <c r="W17" s="18" t="e">
        <f ca="1">'كشف الانتاج'!M23</f>
        <v>#NAME?</v>
      </c>
    </row>
    <row r="18" spans="1:23" ht="31.5" customHeight="1">
      <c r="A18" s="16">
        <v>17</v>
      </c>
      <c r="B18" s="16">
        <v>302</v>
      </c>
      <c r="C18" s="16" t="s">
        <v>128</v>
      </c>
      <c r="D18" s="17">
        <v>800</v>
      </c>
      <c r="E18" s="17">
        <v>200</v>
      </c>
      <c r="F18" s="17">
        <v>175</v>
      </c>
      <c r="G18" s="17">
        <v>300</v>
      </c>
      <c r="H18" s="17">
        <v>135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8" t="e">
        <f t="shared" ref="U18" ca="1" si="1">SUM(D18:T18)+V18</f>
        <v>#NAME?</v>
      </c>
      <c r="V18" s="18" t="e">
        <f ca="1">Transfer(B18,transferTable[ر.م.مستورد],transferTable[ر.م.مصدر],transferTable[الكمية])</f>
        <v>#NAME?</v>
      </c>
      <c r="W18" s="18" t="e">
        <f ca="1">'كشف الانتاج'!M24</f>
        <v>#NAME?</v>
      </c>
    </row>
    <row r="19" spans="1:23" ht="31.5" customHeight="1">
      <c r="A19" s="16">
        <v>18</v>
      </c>
      <c r="B19" s="16">
        <f>'كشف الانتاج'!B25</f>
        <v>51</v>
      </c>
      <c r="C19" s="16" t="s">
        <v>49</v>
      </c>
      <c r="D19" s="17">
        <v>224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 t="e">
        <f t="shared" ca="1" si="0"/>
        <v>#NAME?</v>
      </c>
      <c r="V19" s="18" t="e">
        <f ca="1">Transfer(B19,transferTable[ر.م.مستورد],transferTable[ر.م.مصدر],transferTable[الكمية])</f>
        <v>#NAME?</v>
      </c>
      <c r="W19" s="18" t="e">
        <f ca="1">'كشف الانتاج'!M25</f>
        <v>#NAME?</v>
      </c>
    </row>
    <row r="20" spans="1:23" ht="31.5" customHeight="1">
      <c r="A20" s="16">
        <v>19</v>
      </c>
      <c r="B20" s="16">
        <f>'كشف الانتاج'!B26</f>
        <v>52</v>
      </c>
      <c r="C20" s="16" t="str">
        <f>IF(B20&lt;&gt;"",VLOOKUP(B20,sammary[[رمز المادة]:[اسم المادة]],2,FALSE),"")</f>
        <v>همام مشرح</v>
      </c>
      <c r="D20" s="17">
        <v>45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8" t="e">
        <f t="shared" ca="1" si="0"/>
        <v>#NAME?</v>
      </c>
      <c r="V20" s="18" t="e">
        <f ca="1">Transfer(B20,transferTable[ر.م.مستورد],transferTable[ر.م.مصدر],transferTable[الكمية])</f>
        <v>#NAME?</v>
      </c>
      <c r="W20" s="18" t="e">
        <f ca="1">'كشف الانتاج'!M26</f>
        <v>#NAME?</v>
      </c>
    </row>
    <row r="21" spans="1:23" ht="31.5" customHeight="1">
      <c r="A21" s="16">
        <v>20</v>
      </c>
      <c r="B21" s="16">
        <f>'كشف الانتاج'!B27</f>
        <v>53</v>
      </c>
      <c r="C21" s="16" t="str">
        <f>IF(B21&lt;&gt;"",VLOOKUP(B21,sammary[[رمز المادة]:[اسم المادة]],2,FALSE),"")</f>
        <v>وسط باسطون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8" t="e">
        <f t="shared" ca="1" si="0"/>
        <v>#NAME?</v>
      </c>
      <c r="V21" s="18" t="e">
        <f ca="1">Transfer(B21,transferTable[ر.م.مستورد],transferTable[ر.م.مصدر],transferTable[الكمية])</f>
        <v>#NAME?</v>
      </c>
      <c r="W21" s="18" t="e">
        <f ca="1">'كشف الانتاج'!M27</f>
        <v>#NAME?</v>
      </c>
    </row>
    <row r="22" spans="1:23" ht="31.5" customHeight="1">
      <c r="A22" s="16">
        <v>21</v>
      </c>
      <c r="B22" s="16">
        <f>'كشف الانتاج'!B28</f>
        <v>41</v>
      </c>
      <c r="C22" s="16" t="str">
        <f>IF(B22&lt;&gt;"",VLOOKUP(B22,sammary[[رمز المادة]:[اسم المادة]],2,FALSE),"")</f>
        <v>توست عادي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8" t="e">
        <f t="shared" ca="1" si="0"/>
        <v>#NAME?</v>
      </c>
      <c r="V22" s="18" t="e">
        <f ca="1">Transfer(B22,transferTable[ر.م.مستورد],transferTable[ر.م.مصدر],transferTable[الكمية])</f>
        <v>#NAME?</v>
      </c>
      <c r="W22" s="18" t="e">
        <f ca="1">'كشف الانتاج'!M28</f>
        <v>#NAME?</v>
      </c>
    </row>
    <row r="23" spans="1:23" ht="31.5" customHeight="1">
      <c r="A23" s="16">
        <v>22</v>
      </c>
      <c r="B23" s="16">
        <f>'كشف الانتاج'!B29</f>
        <v>42</v>
      </c>
      <c r="C23" s="16" t="str">
        <f>IF(B23&lt;&gt;"",VLOOKUP(B23,sammary[[رمز المادة]:[اسم المادة]],2,FALSE),"")</f>
        <v>توست بطاطا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8" t="e">
        <f t="shared" ca="1" si="0"/>
        <v>#NAME?</v>
      </c>
      <c r="V23" s="18" t="e">
        <f ca="1">Transfer(B23,transferTable[ر.م.مستورد],transferTable[ر.م.مصدر],transferTable[الكمية])</f>
        <v>#NAME?</v>
      </c>
      <c r="W23" s="18" t="e">
        <f ca="1">'كشف الانتاج'!M29</f>
        <v>#NAME?</v>
      </c>
    </row>
    <row r="24" spans="1:23" ht="31.5" customHeight="1">
      <c r="A24" s="16">
        <v>23</v>
      </c>
      <c r="B24" s="16">
        <f>'كشف الانتاج'!B30</f>
        <v>81</v>
      </c>
      <c r="C24" s="16" t="str">
        <f>IF(B24&lt;&gt;"",VLOOKUP(B24,sammary[[رمز المادة]:[اسم المادة]],2,FALSE),"")</f>
        <v>عيش ابيض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8" t="e">
        <f t="shared" ca="1" si="0"/>
        <v>#NAME?</v>
      </c>
      <c r="V24" s="18" t="e">
        <f ca="1">Transfer(B24,transferTable[ر.م.مستورد],transferTable[ر.م.مصدر],transferTable[الكمية])</f>
        <v>#NAME?</v>
      </c>
      <c r="W24" s="18" t="e">
        <f ca="1">'كشف الانتاج'!M30</f>
        <v>#NAME?</v>
      </c>
    </row>
    <row r="25" spans="1:23" ht="31.5" customHeight="1">
      <c r="A25" s="16">
        <v>24</v>
      </c>
      <c r="B25" s="16">
        <f>'كشف الانتاج'!B31</f>
        <v>82</v>
      </c>
      <c r="C25" s="16" t="str">
        <f>IF(B25&lt;&gt;"",VLOOKUP(B25,sammary[[رمز المادة]:[اسم المادة]],2,FALSE),"")</f>
        <v>عيش اسمر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8" t="e">
        <f t="shared" ca="1" si="0"/>
        <v>#NAME?</v>
      </c>
      <c r="V25" s="18" t="e">
        <f ca="1">Transfer(B25,transferTable[ر.م.مستورد],transferTable[ر.م.مصدر],transferTable[الكمية])</f>
        <v>#NAME?</v>
      </c>
      <c r="W25" s="18" t="e">
        <f ca="1">'كشف الانتاج'!M31</f>
        <v>#NAME?</v>
      </c>
    </row>
    <row r="26" spans="1:23" ht="31.5" customHeight="1">
      <c r="A26" s="16">
        <v>25</v>
      </c>
      <c r="B26" s="16">
        <f>'كشف الانتاج'!B32</f>
        <v>11</v>
      </c>
      <c r="C26" s="16" t="str">
        <f>IF(B26&lt;&gt;"",VLOOKUP(B26,sammary[[رمز المادة]:[اسم المادة]],2,FALSE),"")</f>
        <v>بركر 11</v>
      </c>
      <c r="D26" s="17">
        <v>36</v>
      </c>
      <c r="E26" s="17">
        <v>48</v>
      </c>
      <c r="F26" s="17">
        <v>534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8" t="e">
        <f t="shared" ca="1" si="0"/>
        <v>#NAME?</v>
      </c>
      <c r="V26" s="18" t="e">
        <f ca="1">Transfer(B26,transferTable[ر.م.مستورد],transferTable[ر.م.مصدر],transferTable[الكمية])</f>
        <v>#NAME?</v>
      </c>
      <c r="W26" s="18" t="e">
        <f ca="1">'كشف الانتاج'!M32</f>
        <v>#NAME?</v>
      </c>
    </row>
    <row r="27" spans="1:23" ht="31.5" customHeight="1">
      <c r="A27" s="16">
        <v>26</v>
      </c>
      <c r="B27" s="16">
        <f>'كشف الانتاج'!B33</f>
        <v>9</v>
      </c>
      <c r="C27" s="16" t="str">
        <f>IF(B27&lt;&gt;"",VLOOKUP(B27,sammary[[رمز المادة]:[اسم المادة]],2,FALSE),"")</f>
        <v>باكيت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 t="e">
        <f t="shared" ca="1" si="0"/>
        <v>#NAME?</v>
      </c>
      <c r="V27" s="18" t="e">
        <f ca="1">Transfer(B27,transferTable[ر.م.مستورد],transferTable[ر.م.مصدر],transferTable[الكمية])</f>
        <v>#NAME?</v>
      </c>
      <c r="W27" s="18" t="e">
        <f ca="1">'كشف الانتاج'!M33</f>
        <v>#NAME?</v>
      </c>
    </row>
    <row r="28" spans="1:23" ht="31.5" customHeight="1">
      <c r="A28" s="16">
        <v>27</v>
      </c>
      <c r="B28" s="16">
        <f>'كشف الانتاج'!B34</f>
        <v>92</v>
      </c>
      <c r="C28" s="16" t="str">
        <f>IF(B28&lt;&gt;"",VLOOKUP(B28,sammary[[رمز المادة]:[اسم المادة]],2,FALSE),"")</f>
        <v>وسط باكيت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 t="e">
        <f t="shared" ca="1" si="0"/>
        <v>#NAME?</v>
      </c>
      <c r="V28" s="18" t="e">
        <f ca="1">Transfer(B28,transferTable[ر.م.مستورد],transferTable[ر.م.مصدر],transferTable[الكمية])</f>
        <v>#NAME?</v>
      </c>
      <c r="W28" s="18" t="e">
        <f ca="1">'كشف الانتاج'!M34</f>
        <v>#NAME?</v>
      </c>
    </row>
    <row r="29" spans="1:23" ht="31.5" customHeight="1">
      <c r="A29" s="16">
        <v>28</v>
      </c>
      <c r="B29" s="16">
        <f>'كشف الانتاج'!B35</f>
        <v>139</v>
      </c>
      <c r="C29" s="16" t="str">
        <f>IF(B29&lt;&gt;"",VLOOKUP(B29,sammary[[رمز المادة]:[اسم المادة]],2,FALSE),"")</f>
        <v>بركر 13 شعير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8" t="e">
        <f t="shared" ca="1" si="0"/>
        <v>#NAME?</v>
      </c>
      <c r="V29" s="18" t="e">
        <f ca="1">Transfer(B29,transferTable[ر.م.مستورد],transferTable[ر.م.مصدر],transferTable[الكمية])</f>
        <v>#NAME?</v>
      </c>
      <c r="W29" s="18" t="e">
        <f ca="1">'كشف الانتاج'!M35</f>
        <v>#NAME?</v>
      </c>
    </row>
    <row r="30" spans="1:23" ht="31.5" customHeight="1">
      <c r="A30" s="16">
        <v>29</v>
      </c>
      <c r="B30" s="16">
        <f>'كشف الانتاج'!B36</f>
        <v>49</v>
      </c>
      <c r="C30" s="16" t="str">
        <f>IF(B30&lt;&gt;"",VLOOKUP(B30,sammary[[رمز المادة]:[اسم المادة]],2,FALSE),"")</f>
        <v>توست اسمر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8" t="e">
        <f t="shared" ca="1" si="0"/>
        <v>#NAME?</v>
      </c>
      <c r="V30" s="18" t="e">
        <f ca="1">Transfer(B30,transferTable[ر.م.مستورد],transferTable[ر.م.مصدر],transferTable[الكمية])</f>
        <v>#NAME?</v>
      </c>
      <c r="W30" s="18" t="e">
        <f ca="1">'كشف الانتاج'!M36</f>
        <v>#NAME?</v>
      </c>
    </row>
    <row r="31" spans="1:23" ht="31.5" customHeight="1">
      <c r="A31" s="16">
        <v>30</v>
      </c>
      <c r="B31" s="16">
        <f>'كشف الانتاج'!B37</f>
        <v>269</v>
      </c>
      <c r="C31" s="16" t="str">
        <f>IF(B31&lt;&gt;"",VLOOKUP(B31,sammary[[رمز المادة]:[اسم المادة]],2,FALSE),"")</f>
        <v>فلر 26 اسمر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8" t="e">
        <f t="shared" ca="1" si="0"/>
        <v>#NAME?</v>
      </c>
      <c r="V31" s="18" t="e">
        <f ca="1">Transfer(B31,transferTable[ر.م.مستورد],transferTable[ر.م.مصدر],transferTable[الكمية])</f>
        <v>#NAME?</v>
      </c>
      <c r="W31" s="18" t="e">
        <f ca="1">'كشف الانتاج'!M37</f>
        <v>#NAME?</v>
      </c>
    </row>
  </sheetData>
  <mergeCells count="1">
    <mergeCell ref="D1:T1"/>
  </mergeCells>
  <pageMargins left="0.11811023622047245" right="0.11811023622047245" top="0.12" bottom="0.15748031496062992" header="0.11811023622047245" footer="0.11811023622047245"/>
  <pageSetup paperSize="9" scale="56" orientation="landscape" r:id="rId1"/>
  <ignoredErrors>
    <ignoredError sqref="U1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6ED2-D07D-495D-BE14-50B867643FF0}">
  <sheetPr codeName="Sheet6">
    <tabColor theme="5"/>
    <pageSetUpPr fitToPage="1"/>
  </sheetPr>
  <dimension ref="A1:E272"/>
  <sheetViews>
    <sheetView rightToLeft="1" topLeftCell="A54" zoomScaleNormal="100" zoomScaleSheetLayoutView="100" workbookViewId="0">
      <selection activeCell="D59" sqref="D59:D79"/>
    </sheetView>
  </sheetViews>
  <sheetFormatPr defaultColWidth="25.7109375" defaultRowHeight="20.100000000000001" customHeight="1"/>
  <cols>
    <col min="1" max="2" width="10.7109375" style="14" customWidth="1"/>
    <col min="3" max="16384" width="25.7109375" style="14"/>
  </cols>
  <sheetData>
    <row r="1" spans="1:5" ht="20.100000000000001" customHeight="1">
      <c r="A1" s="11" t="s">
        <v>0</v>
      </c>
      <c r="B1" s="12" t="s">
        <v>115</v>
      </c>
      <c r="C1" s="12" t="s">
        <v>32</v>
      </c>
      <c r="D1" s="12" t="s">
        <v>74</v>
      </c>
      <c r="E1" s="13" t="s">
        <v>126</v>
      </c>
    </row>
    <row r="2" spans="1:5" ht="20.100000000000001" customHeight="1">
      <c r="A2" s="11"/>
      <c r="B2" s="104">
        <v>1</v>
      </c>
      <c r="C2" s="104" t="str">
        <f>IF(ele[[#This Row],[ر. المادة]]&lt;&gt; "",VLOOKUP(ele[[#This Row],[ر. المادة]],sammary[[رمز المادة]:[اسم المادة]],2,FALSE),"")</f>
        <v>كنتاكي</v>
      </c>
      <c r="D2" s="24">
        <v>26</v>
      </c>
      <c r="E2" s="74">
        <v>10</v>
      </c>
    </row>
    <row r="3" spans="1:5" ht="20.100000000000001" customHeight="1">
      <c r="A3" s="11"/>
      <c r="B3" s="104">
        <v>1</v>
      </c>
      <c r="C3" s="104" t="str">
        <f>IF(ele[[#This Row],[ر. المادة]]&lt;&gt; "",VLOOKUP(ele[[#This Row],[ر. المادة]],sammary[[رمز المادة]:[اسم المادة]],2,FALSE),"")</f>
        <v>كنتاكي</v>
      </c>
      <c r="D3" s="24">
        <v>22</v>
      </c>
      <c r="E3" s="74">
        <v>13</v>
      </c>
    </row>
    <row r="4" spans="1:5" ht="20.100000000000001" customHeight="1">
      <c r="A4" s="11"/>
      <c r="B4" s="104">
        <v>1</v>
      </c>
      <c r="C4" s="104" t="str">
        <f>IF(ele[[#This Row],[ر. المادة]]&lt;&gt; "",VLOOKUP(ele[[#This Row],[ر. المادة]],sammary[[رمز المادة]:[اسم المادة]],2,FALSE),"")</f>
        <v>كنتاكي</v>
      </c>
      <c r="D4" s="24">
        <v>25</v>
      </c>
      <c r="E4" s="74">
        <v>50</v>
      </c>
    </row>
    <row r="5" spans="1:5" ht="20.100000000000001" customHeight="1">
      <c r="A5" s="11"/>
      <c r="B5" s="104">
        <v>1</v>
      </c>
      <c r="C5" s="104" t="str">
        <f>IF(ele[[#This Row],[ر. المادة]]&lt;&gt; "",VLOOKUP(ele[[#This Row],[ر. المادة]],sammary[[رمز المادة]:[اسم المادة]],2,FALSE),"")</f>
        <v>كنتاكي</v>
      </c>
      <c r="D5" s="24">
        <v>26</v>
      </c>
      <c r="E5" s="74">
        <v>62</v>
      </c>
    </row>
    <row r="6" spans="1:5" ht="20.100000000000001" customHeight="1">
      <c r="A6" s="11"/>
      <c r="B6" s="104">
        <v>1</v>
      </c>
      <c r="C6" s="104" t="str">
        <f>IF(ele[[#This Row],[ر. المادة]]&lt;&gt; "",VLOOKUP(ele[[#This Row],[ر. المادة]],sammary[[رمز المادة]:[اسم المادة]],2,FALSE),"")</f>
        <v>كنتاكي</v>
      </c>
      <c r="D6" s="24">
        <v>23</v>
      </c>
      <c r="E6" s="74">
        <v>56</v>
      </c>
    </row>
    <row r="7" spans="1:5" ht="20.100000000000001" customHeight="1">
      <c r="A7" s="11"/>
      <c r="B7" s="104">
        <v>1</v>
      </c>
      <c r="C7" s="104" t="str">
        <f>IF(ele[[#This Row],[ر. المادة]]&lt;&gt; "",VLOOKUP(ele[[#This Row],[ر. المادة]],sammary[[رمز المادة]:[اسم المادة]],2,FALSE),"")</f>
        <v>كنتاكي</v>
      </c>
      <c r="D7" s="24">
        <v>23</v>
      </c>
      <c r="E7" s="74">
        <v>30</v>
      </c>
    </row>
    <row r="8" spans="1:5" ht="20.100000000000001" customHeight="1">
      <c r="A8" s="11"/>
      <c r="B8" s="104">
        <v>1</v>
      </c>
      <c r="C8" s="104" t="str">
        <f>IF(ele[[#This Row],[ر. المادة]]&lt;&gt; "",VLOOKUP(ele[[#This Row],[ر. المادة]],sammary[[رمز المادة]:[اسم المادة]],2,FALSE),"")</f>
        <v>كنتاكي</v>
      </c>
      <c r="D8" s="24">
        <v>26</v>
      </c>
      <c r="E8" s="74">
        <v>28</v>
      </c>
    </row>
    <row r="9" spans="1:5" ht="20.100000000000001" customHeight="1">
      <c r="A9" s="11"/>
      <c r="B9" s="104">
        <v>1</v>
      </c>
      <c r="C9" s="104" t="str">
        <f>IF(ele[[#This Row],[ر. المادة]]&lt;&gt; "",VLOOKUP(ele[[#This Row],[ر. المادة]],sammary[[رمز المادة]:[اسم المادة]],2,FALSE),"")</f>
        <v>كنتاكي</v>
      </c>
      <c r="D9" s="24">
        <v>20</v>
      </c>
      <c r="E9" s="74">
        <v>19</v>
      </c>
    </row>
    <row r="10" spans="1:5" ht="20.100000000000001" customHeight="1">
      <c r="A10" s="11"/>
      <c r="B10" s="104">
        <v>1</v>
      </c>
      <c r="C10" s="104" t="str">
        <f>IF(ele[[#This Row],[ر. المادة]]&lt;&gt; "",VLOOKUP(ele[[#This Row],[ر. المادة]],sammary[[رمز المادة]:[اسم المادة]],2,FALSE),"")</f>
        <v>كنتاكي</v>
      </c>
      <c r="D10" s="24">
        <v>30</v>
      </c>
      <c r="E10" s="74">
        <v>53</v>
      </c>
    </row>
    <row r="11" spans="1:5" ht="20.100000000000001" customHeight="1">
      <c r="A11" s="11"/>
      <c r="B11" s="104">
        <v>1</v>
      </c>
      <c r="C11" s="104" t="str">
        <f>IF(ele[[#This Row],[ر. المادة]]&lt;&gt; "",VLOOKUP(ele[[#This Row],[ر. المادة]],sammary[[رمز المادة]:[اسم المادة]],2,FALSE),"")</f>
        <v>كنتاكي</v>
      </c>
      <c r="D11" s="24">
        <v>26</v>
      </c>
      <c r="E11" s="74">
        <v>40</v>
      </c>
    </row>
    <row r="12" spans="1:5" ht="18" customHeight="1">
      <c r="A12" s="11"/>
      <c r="B12" s="104">
        <v>1</v>
      </c>
      <c r="C12" s="104" t="str">
        <f>IF(ele[[#This Row],[ر. المادة]]&lt;&gt; "",VLOOKUP(ele[[#This Row],[ر. المادة]],sammary[[رمز المادة]:[اسم المادة]],2,FALSE),"")</f>
        <v>كنتاكي</v>
      </c>
      <c r="D12" s="24">
        <v>26</v>
      </c>
      <c r="E12" s="74">
        <v>36</v>
      </c>
    </row>
    <row r="13" spans="1:5" ht="20.100000000000001" customHeight="1">
      <c r="A13" s="11"/>
      <c r="B13" s="104">
        <v>1</v>
      </c>
      <c r="C13" s="104" t="str">
        <f>IF(ele[[#This Row],[ر. المادة]]&lt;&gt; "",VLOOKUP(ele[[#This Row],[ر. المادة]],sammary[[رمز المادة]:[اسم المادة]],2,FALSE),"")</f>
        <v>كنتاكي</v>
      </c>
      <c r="D13" s="24">
        <v>26</v>
      </c>
      <c r="E13" s="74">
        <v>51</v>
      </c>
    </row>
    <row r="14" spans="1:5" ht="19.5" customHeight="1">
      <c r="A14" s="11"/>
      <c r="B14" s="104">
        <v>1</v>
      </c>
      <c r="C14" s="104" t="str">
        <f>IF(ele[[#This Row],[ر. المادة]]&lt;&gt; "",VLOOKUP(ele[[#This Row],[ر. المادة]],sammary[[رمز المادة]:[اسم المادة]],2,FALSE),"")</f>
        <v>كنتاكي</v>
      </c>
      <c r="D14" s="24">
        <v>21</v>
      </c>
      <c r="E14" s="74">
        <v>43</v>
      </c>
    </row>
    <row r="15" spans="1:5" ht="20.100000000000001" customHeight="1">
      <c r="A15" s="11"/>
      <c r="B15" s="104">
        <v>1</v>
      </c>
      <c r="C15" s="104" t="str">
        <f>IF(ele[[#This Row],[ر. المادة]]&lt;&gt; "",VLOOKUP(ele[[#This Row],[ر. المادة]],sammary[[رمز المادة]:[اسم المادة]],2,FALSE),"")</f>
        <v>كنتاكي</v>
      </c>
      <c r="D15" s="24">
        <v>24</v>
      </c>
      <c r="E15" s="74">
        <v>50</v>
      </c>
    </row>
    <row r="16" spans="1:5" ht="20.100000000000001" customHeight="1">
      <c r="A16" s="11"/>
      <c r="B16" s="104">
        <v>1</v>
      </c>
      <c r="C16" s="104" t="str">
        <f>IF(ele[[#This Row],[ر. المادة]]&lt;&gt; "",VLOOKUP(ele[[#This Row],[ر. المادة]],sammary[[رمز المادة]:[اسم المادة]],2,FALSE),"")</f>
        <v>كنتاكي</v>
      </c>
      <c r="D16" s="24">
        <v>25</v>
      </c>
      <c r="E16" s="74">
        <v>49</v>
      </c>
    </row>
    <row r="17" spans="1:5" ht="20.100000000000001" customHeight="1">
      <c r="A17" s="11"/>
      <c r="B17" s="104">
        <v>1</v>
      </c>
      <c r="C17" s="104" t="str">
        <f>IF(ele[[#This Row],[ر. المادة]]&lt;&gt; "",VLOOKUP(ele[[#This Row],[ر. المادة]],sammary[[رمز المادة]:[اسم المادة]],2,FALSE),"")</f>
        <v>كنتاكي</v>
      </c>
      <c r="D17" s="24">
        <v>25</v>
      </c>
      <c r="E17" s="74">
        <v>50</v>
      </c>
    </row>
    <row r="18" spans="1:5" ht="20.100000000000001" customHeight="1">
      <c r="A18" s="11"/>
      <c r="B18" s="104">
        <v>1</v>
      </c>
      <c r="C18" s="104" t="str">
        <f>IF(ele[[#This Row],[ر. المادة]]&lt;&gt; "",VLOOKUP(ele[[#This Row],[ر. المادة]],sammary[[رمز المادة]:[اسم المادة]],2,FALSE),"")</f>
        <v>كنتاكي</v>
      </c>
      <c r="D18" s="24">
        <v>24</v>
      </c>
      <c r="E18" s="74">
        <v>37</v>
      </c>
    </row>
    <row r="19" spans="1:5" ht="20.100000000000001" customHeight="1">
      <c r="A19" s="11"/>
      <c r="B19" s="104">
        <v>1</v>
      </c>
      <c r="C19" s="104" t="str">
        <f>IF(ele[[#This Row],[ر. المادة]]&lt;&gt; "",VLOOKUP(ele[[#This Row],[ر. المادة]],sammary[[رمز المادة]:[اسم المادة]],2,FALSE),"")</f>
        <v>كنتاكي</v>
      </c>
      <c r="D19" s="24">
        <v>30</v>
      </c>
      <c r="E19" s="74">
        <v>14</v>
      </c>
    </row>
    <row r="20" spans="1:5" ht="20.100000000000001" customHeight="1">
      <c r="A20" s="11"/>
      <c r="B20" s="104">
        <v>1</v>
      </c>
      <c r="C20" s="104" t="str">
        <f>IF(ele[[#This Row],[ر. المادة]]&lt;&gt; "",VLOOKUP(ele[[#This Row],[ر. المادة]],sammary[[رمز المادة]:[اسم المادة]],2,FALSE),"")</f>
        <v>كنتاكي</v>
      </c>
      <c r="D20" s="24">
        <v>26</v>
      </c>
      <c r="E20" s="74">
        <v>51</v>
      </c>
    </row>
    <row r="21" spans="1:5" ht="20.100000000000001" customHeight="1">
      <c r="A21" s="11"/>
      <c r="B21" s="104">
        <v>1</v>
      </c>
      <c r="C21" s="104" t="str">
        <f>IF(ele[[#This Row],[ر. المادة]]&lt;&gt; "",VLOOKUP(ele[[#This Row],[ر. المادة]],sammary[[رمز المادة]:[اسم المادة]],2,FALSE),"")</f>
        <v>كنتاكي</v>
      </c>
      <c r="D21" s="24">
        <v>25</v>
      </c>
      <c r="E21" s="74">
        <v>33</v>
      </c>
    </row>
    <row r="22" spans="1:5" ht="20.100000000000001" customHeight="1">
      <c r="A22" s="11"/>
      <c r="B22" s="104">
        <v>1</v>
      </c>
      <c r="C22" s="104" t="str">
        <f>IF(ele[[#This Row],[ر. المادة]]&lt;&gt; "",VLOOKUP(ele[[#This Row],[ر. المادة]],sammary[[رمز المادة]:[اسم المادة]],2,FALSE),"")</f>
        <v>كنتاكي</v>
      </c>
      <c r="D22" s="24">
        <v>26</v>
      </c>
      <c r="E22" s="74">
        <v>47</v>
      </c>
    </row>
    <row r="23" spans="1:5" ht="20.100000000000001" customHeight="1">
      <c r="A23" s="11"/>
      <c r="B23" s="104">
        <v>1</v>
      </c>
      <c r="C23" s="12" t="str">
        <f>IF(ele[[#This Row],[ر. المادة]]&lt;&gt; "",VLOOKUP(ele[[#This Row],[ر. المادة]],sammary[[رمز المادة]:[اسم المادة]],2,FALSE),"")</f>
        <v>كنتاكي</v>
      </c>
      <c r="D23" s="24">
        <v>26</v>
      </c>
      <c r="E23" s="74">
        <v>54</v>
      </c>
    </row>
    <row r="24" spans="1:5" ht="20.100000000000001" customHeight="1">
      <c r="A24" s="11"/>
      <c r="B24" s="104">
        <v>1</v>
      </c>
      <c r="C24" s="12" t="str">
        <f>IF(ele[[#This Row],[ر. المادة]]&lt;&gt; "",VLOOKUP(ele[[#This Row],[ر. المادة]],sammary[[رمز المادة]:[اسم المادة]],2,FALSE),"")</f>
        <v>كنتاكي</v>
      </c>
      <c r="D24" s="24">
        <v>24</v>
      </c>
      <c r="E24" s="74">
        <v>17</v>
      </c>
    </row>
    <row r="25" spans="1:5" ht="20.100000000000001" customHeight="1">
      <c r="A25" s="11"/>
      <c r="B25" s="104">
        <v>1</v>
      </c>
      <c r="C25" s="12" t="str">
        <f>IF(ele[[#This Row],[ر. المادة]]&lt;&gt; "",VLOOKUP(ele[[#This Row],[ر. المادة]],sammary[[رمز المادة]:[اسم المادة]],2,FALSE),"")</f>
        <v>كنتاكي</v>
      </c>
      <c r="D25" s="24">
        <v>26</v>
      </c>
      <c r="E25" s="74">
        <v>64</v>
      </c>
    </row>
    <row r="26" spans="1:5" ht="20.100000000000001" customHeight="1">
      <c r="A26" s="11"/>
      <c r="B26" s="104">
        <v>1</v>
      </c>
      <c r="C26" s="12" t="str">
        <f>IF(ele[[#This Row],[ر. المادة]]&lt;&gt; "",VLOOKUP(ele[[#This Row],[ر. المادة]],sammary[[رمز المادة]:[اسم المادة]],2,FALSE),"")</f>
        <v>كنتاكي</v>
      </c>
      <c r="D26" s="24">
        <v>26</v>
      </c>
      <c r="E26" s="74">
        <v>48</v>
      </c>
    </row>
    <row r="27" spans="1:5" ht="20.100000000000001" customHeight="1">
      <c r="A27" s="11"/>
      <c r="B27" s="104">
        <v>1</v>
      </c>
      <c r="C27" s="12" t="str">
        <f>IF(ele[[#This Row],[ر. المادة]]&lt;&gt; "",VLOOKUP(ele[[#This Row],[ر. المادة]],sammary[[رمز المادة]:[اسم المادة]],2,FALSE),"")</f>
        <v>كنتاكي</v>
      </c>
      <c r="D27" s="12">
        <v>26</v>
      </c>
      <c r="E27" s="13">
        <v>50</v>
      </c>
    </row>
    <row r="28" spans="1:5" ht="20.100000000000001" customHeight="1">
      <c r="A28" s="11"/>
      <c r="B28" s="104">
        <v>1</v>
      </c>
      <c r="C28" s="12" t="str">
        <f>IF(ele[[#This Row],[ر. المادة]]&lt;&gt; "",VLOOKUP(ele[[#This Row],[ر. المادة]],sammary[[رمز المادة]:[اسم المادة]],2,FALSE),"")</f>
        <v>كنتاكي</v>
      </c>
      <c r="D28" s="12">
        <v>26</v>
      </c>
      <c r="E28" s="13">
        <v>31</v>
      </c>
    </row>
    <row r="29" spans="1:5" ht="20.100000000000001" customHeight="1">
      <c r="A29" s="11"/>
      <c r="B29" s="104">
        <v>1</v>
      </c>
      <c r="C29" s="12" t="str">
        <f>IF(ele[[#This Row],[ر. المادة]]&lt;&gt; "",VLOOKUP(ele[[#This Row],[ر. المادة]],sammary[[رمز المادة]:[اسم المادة]],2,FALSE),"")</f>
        <v>كنتاكي</v>
      </c>
      <c r="D29" s="12">
        <v>26</v>
      </c>
      <c r="E29" s="13">
        <v>71</v>
      </c>
    </row>
    <row r="30" spans="1:5" ht="20.100000000000001" customHeight="1">
      <c r="A30" s="11"/>
      <c r="B30" s="104">
        <v>1</v>
      </c>
      <c r="C30" s="12" t="str">
        <f>IF(ele[[#This Row],[ر. المادة]]&lt;&gt; "",VLOOKUP(ele[[#This Row],[ر. المادة]],sammary[[رمز المادة]:[اسم المادة]],2,FALSE),"")</f>
        <v>كنتاكي</v>
      </c>
      <c r="D30" s="12">
        <v>26</v>
      </c>
      <c r="E30" s="13">
        <v>37</v>
      </c>
    </row>
    <row r="31" spans="1:5" ht="20.100000000000001" customHeight="1">
      <c r="A31" s="106"/>
      <c r="B31" s="104">
        <v>1</v>
      </c>
      <c r="C31" s="104" t="str">
        <f>IF(ele[[#This Row],[ر. المادة]]&lt;&gt; "",VLOOKUP(ele[[#This Row],[ر. المادة]],sammary[[رمز المادة]:[اسم المادة]],2,FALSE),"")</f>
        <v>كنتاكي</v>
      </c>
      <c r="D31" s="104">
        <v>25</v>
      </c>
      <c r="E31" s="107">
        <v>63</v>
      </c>
    </row>
    <row r="32" spans="1:5" ht="20.100000000000001" customHeight="1">
      <c r="A32" s="106"/>
      <c r="B32" s="104">
        <v>1</v>
      </c>
      <c r="C32" s="104" t="str">
        <f>IF(ele[[#This Row],[ر. المادة]]&lt;&gt; "",VLOOKUP(ele[[#This Row],[ر. المادة]],sammary[[رمز المادة]:[اسم المادة]],2,FALSE),"")</f>
        <v>كنتاكي</v>
      </c>
      <c r="D32" s="104">
        <v>26</v>
      </c>
      <c r="E32" s="107">
        <v>24</v>
      </c>
    </row>
    <row r="33" spans="1:5" ht="20.100000000000001" customHeight="1">
      <c r="A33" s="106"/>
      <c r="B33" s="104">
        <v>1</v>
      </c>
      <c r="C33" s="104" t="str">
        <f>IF(ele[[#This Row],[ر. المادة]]&lt;&gt; "",VLOOKUP(ele[[#This Row],[ر. المادة]],sammary[[رمز المادة]:[اسم المادة]],2,FALSE),"")</f>
        <v>كنتاكي</v>
      </c>
      <c r="D33" s="104">
        <v>20</v>
      </c>
      <c r="E33" s="107">
        <v>22</v>
      </c>
    </row>
    <row r="34" spans="1:5" ht="20.100000000000001" customHeight="1">
      <c r="A34" s="106"/>
      <c r="B34" s="104">
        <v>1</v>
      </c>
      <c r="C34" s="104" t="str">
        <f>IF(ele[[#This Row],[ر. المادة]]&lt;&gt; "",VLOOKUP(ele[[#This Row],[ر. المادة]],sammary[[رمز المادة]:[اسم المادة]],2,FALSE),"")</f>
        <v>كنتاكي</v>
      </c>
      <c r="D34" s="104">
        <v>30</v>
      </c>
      <c r="E34" s="107">
        <v>40</v>
      </c>
    </row>
    <row r="35" spans="1:5" ht="20.100000000000001" customHeight="1">
      <c r="A35" s="11"/>
      <c r="B35" s="104">
        <v>1</v>
      </c>
      <c r="C35" s="12" t="str">
        <f>IF(ele[[#This Row],[ر. المادة]]&lt;&gt; "",VLOOKUP(ele[[#This Row],[ر. المادة]],sammary[[رمز المادة]:[اسم المادة]],2,FALSE),"")</f>
        <v>كنتاكي</v>
      </c>
      <c r="D35" s="12">
        <v>21</v>
      </c>
      <c r="E35" s="13">
        <v>30</v>
      </c>
    </row>
    <row r="36" spans="1:5" ht="20.100000000000001" customHeight="1">
      <c r="A36" s="11"/>
      <c r="B36" s="12">
        <v>141</v>
      </c>
      <c r="C36" s="12" t="str">
        <f>IF(ele[[#This Row],[ر. المادة]]&lt;&gt; "",VLOOKUP(ele[[#This Row],[ر. المادة]],sammary[[رمز المادة]:[اسم المادة]],2,FALSE),"")</f>
        <v>بركر 14 عادي</v>
      </c>
      <c r="D36" s="12">
        <v>26</v>
      </c>
      <c r="E36" s="13"/>
    </row>
    <row r="37" spans="1:5" ht="20.100000000000001" customHeight="1">
      <c r="A37" s="11"/>
      <c r="B37" s="12">
        <v>141</v>
      </c>
      <c r="C37" s="12" t="str">
        <f>IF(ele[[#This Row],[ر. المادة]]&lt;&gt; "",VLOOKUP(ele[[#This Row],[ر. المادة]],sammary[[رمز المادة]:[اسم المادة]],2,FALSE),"")</f>
        <v>بركر 14 عادي</v>
      </c>
      <c r="D37" s="12">
        <v>24</v>
      </c>
      <c r="E37" s="13"/>
    </row>
    <row r="38" spans="1:5" ht="20.100000000000001" customHeight="1">
      <c r="A38" s="11"/>
      <c r="B38" s="12">
        <v>141</v>
      </c>
      <c r="C38" s="12" t="str">
        <f>IF(ele[[#This Row],[ر. المادة]]&lt;&gt; "",VLOOKUP(ele[[#This Row],[ر. المادة]],sammary[[رمز المادة]:[اسم المادة]],2,FALSE),"")</f>
        <v>بركر 14 عادي</v>
      </c>
      <c r="D38" s="12">
        <v>26</v>
      </c>
      <c r="E38" s="13"/>
    </row>
    <row r="39" spans="1:5" ht="20.100000000000001" customHeight="1">
      <c r="A39" s="11"/>
      <c r="B39" s="12">
        <v>141</v>
      </c>
      <c r="C39" s="12" t="str">
        <f>IF(ele[[#This Row],[ر. المادة]]&lt;&gt; "",VLOOKUP(ele[[#This Row],[ر. المادة]],sammary[[رمز المادة]:[اسم المادة]],2,FALSE),"")</f>
        <v>بركر 14 عادي</v>
      </c>
      <c r="D39" s="12">
        <v>26</v>
      </c>
      <c r="E39" s="13"/>
    </row>
    <row r="40" spans="1:5" ht="20.100000000000001" customHeight="1">
      <c r="A40" s="11"/>
      <c r="B40" s="12">
        <v>141</v>
      </c>
      <c r="C40" s="12" t="str">
        <f>IF(ele[[#This Row],[ر. المادة]]&lt;&gt; "",VLOOKUP(ele[[#This Row],[ر. المادة]],sammary[[رمز المادة]:[اسم المادة]],2,FALSE),"")</f>
        <v>بركر 14 عادي</v>
      </c>
      <c r="D40" s="12">
        <v>25</v>
      </c>
      <c r="E40" s="13"/>
    </row>
    <row r="41" spans="1:5" ht="20.100000000000001" customHeight="1">
      <c r="A41" s="11"/>
      <c r="B41" s="12">
        <v>141</v>
      </c>
      <c r="C41" s="12" t="str">
        <f>IF(ele[[#This Row],[ر. المادة]]&lt;&gt; "",VLOOKUP(ele[[#This Row],[ر. المادة]],sammary[[رمز المادة]:[اسم المادة]],2,FALSE),"")</f>
        <v>بركر 14 عادي</v>
      </c>
      <c r="D41" s="12">
        <v>26</v>
      </c>
      <c r="E41" s="13">
        <v>2</v>
      </c>
    </row>
    <row r="42" spans="1:5" ht="20.100000000000001" customHeight="1">
      <c r="A42" s="11"/>
      <c r="B42" s="12">
        <v>141</v>
      </c>
      <c r="C42" s="12" t="str">
        <f>IF(ele[[#This Row],[ر. المادة]]&lt;&gt; "",VLOOKUP(ele[[#This Row],[ر. المادة]],sammary[[رمز المادة]:[اسم المادة]],2,FALSE),"")</f>
        <v>بركر 14 عادي</v>
      </c>
      <c r="D42" s="12">
        <v>24</v>
      </c>
      <c r="E42" s="13"/>
    </row>
    <row r="43" spans="1:5" ht="20.100000000000001" customHeight="1">
      <c r="A43" s="11"/>
      <c r="B43" s="12">
        <v>141</v>
      </c>
      <c r="C43" s="12" t="str">
        <f>IF(ele[[#This Row],[ر. المادة]]&lt;&gt; "",VLOOKUP(ele[[#This Row],[ر. المادة]],sammary[[رمز المادة]:[اسم المادة]],2,FALSE),"")</f>
        <v>بركر 14 عادي</v>
      </c>
      <c r="D43" s="24">
        <v>26</v>
      </c>
      <c r="E43" s="74"/>
    </row>
    <row r="44" spans="1:5" ht="20.100000000000001" customHeight="1">
      <c r="A44" s="11"/>
      <c r="B44" s="12">
        <v>141</v>
      </c>
      <c r="C44" s="12" t="str">
        <f>IF(ele[[#This Row],[ر. المادة]]&lt;&gt; "",VLOOKUP(ele[[#This Row],[ر. المادة]],sammary[[رمز المادة]:[اسم المادة]],2,FALSE),"")</f>
        <v>بركر 14 عادي</v>
      </c>
      <c r="D44" s="24">
        <v>26</v>
      </c>
      <c r="E44" s="74"/>
    </row>
    <row r="45" spans="1:5" ht="20.100000000000001" customHeight="1">
      <c r="A45" s="11"/>
      <c r="B45" s="12">
        <v>141</v>
      </c>
      <c r="C45" s="12" t="str">
        <f>IF(ele[[#This Row],[ر. المادة]]&lt;&gt; "",VLOOKUP(ele[[#This Row],[ر. المادة]],sammary[[رمز المادة]:[اسم المادة]],2,FALSE),"")</f>
        <v>بركر 14 عادي</v>
      </c>
      <c r="D45" s="24">
        <v>24</v>
      </c>
      <c r="E45" s="74"/>
    </row>
    <row r="46" spans="1:5" ht="20.100000000000001" customHeight="1">
      <c r="A46" s="11"/>
      <c r="B46" s="12">
        <v>141</v>
      </c>
      <c r="C46" s="12" t="str">
        <f>IF(ele[[#This Row],[ر. المادة]]&lt;&gt; "",VLOOKUP(ele[[#This Row],[ر. المادة]],sammary[[رمز المادة]:[اسم المادة]],2,FALSE),"")</f>
        <v>بركر 14 عادي</v>
      </c>
      <c r="D46" s="24">
        <v>24</v>
      </c>
      <c r="E46" s="74"/>
    </row>
    <row r="47" spans="1:5" ht="20.100000000000001" customHeight="1">
      <c r="A47" s="11"/>
      <c r="B47" s="12">
        <v>141</v>
      </c>
      <c r="C47" s="12" t="str">
        <f>IF(ele[[#This Row],[ر. المادة]]&lt;&gt; "",VLOOKUP(ele[[#This Row],[ر. المادة]],sammary[[رمز المادة]:[اسم المادة]],2,FALSE),"")</f>
        <v>بركر 14 عادي</v>
      </c>
      <c r="D47" s="24">
        <v>26</v>
      </c>
      <c r="E47" s="74"/>
    </row>
    <row r="48" spans="1:5" ht="20.100000000000001" customHeight="1">
      <c r="A48" s="106"/>
      <c r="B48" s="12">
        <v>141</v>
      </c>
      <c r="C48" s="104" t="str">
        <f>IF(ele[[#This Row],[ر. المادة]]&lt;&gt; "",VLOOKUP(ele[[#This Row],[ر. المادة]],sammary[[رمز المادة]:[اسم المادة]],2,FALSE),"")</f>
        <v>بركر 14 عادي</v>
      </c>
      <c r="D48" s="24">
        <v>25</v>
      </c>
      <c r="E48" s="74"/>
    </row>
    <row r="49" spans="1:5" ht="20.100000000000001" customHeight="1">
      <c r="A49" s="106"/>
      <c r="B49" s="12">
        <v>141</v>
      </c>
      <c r="C49" s="104" t="str">
        <f>IF(ele[[#This Row],[ر. المادة]]&lt;&gt; "",VLOOKUP(ele[[#This Row],[ر. المادة]],sammary[[رمز المادة]:[اسم المادة]],2,FALSE),"")</f>
        <v>بركر 14 عادي</v>
      </c>
      <c r="D49" s="24">
        <v>26</v>
      </c>
      <c r="E49" s="74"/>
    </row>
    <row r="50" spans="1:5" ht="20.100000000000001" customHeight="1">
      <c r="A50" s="106"/>
      <c r="B50" s="12">
        <v>141</v>
      </c>
      <c r="C50" s="104" t="str">
        <f>IF(ele[[#This Row],[ر. المادة]]&lt;&gt; "",VLOOKUP(ele[[#This Row],[ر. المادة]],sammary[[رمز المادة]:[اسم المادة]],2,FALSE),"")</f>
        <v>بركر 14 عادي</v>
      </c>
      <c r="D50" s="24">
        <v>26</v>
      </c>
      <c r="E50" s="74"/>
    </row>
    <row r="51" spans="1:5" ht="20.100000000000001" customHeight="1">
      <c r="A51" s="11"/>
      <c r="B51" s="12">
        <v>141</v>
      </c>
      <c r="C51" s="12" t="str">
        <f>IF(ele[[#This Row],[ر. المادة]]&lt;&gt; "",VLOOKUP(ele[[#This Row],[ر. المادة]],sammary[[رمز المادة]:[اسم المادة]],2,FALSE),"")</f>
        <v>بركر 14 عادي</v>
      </c>
      <c r="D51" s="24">
        <v>24</v>
      </c>
      <c r="E51" s="74"/>
    </row>
    <row r="52" spans="1:5" ht="20.100000000000001" customHeight="1">
      <c r="A52" s="11"/>
      <c r="B52" s="12">
        <v>141</v>
      </c>
      <c r="C52" s="12" t="str">
        <f>IF(ele[[#This Row],[ر. المادة]]&lt;&gt; "",VLOOKUP(ele[[#This Row],[ر. المادة]],sammary[[رمز المادة]:[اسم المادة]],2,FALSE),"")</f>
        <v>بركر 14 عادي</v>
      </c>
      <c r="D52" s="24">
        <v>26</v>
      </c>
      <c r="E52" s="74"/>
    </row>
    <row r="53" spans="1:5" ht="20.100000000000001" customHeight="1">
      <c r="A53" s="106"/>
      <c r="B53" s="12">
        <v>141</v>
      </c>
      <c r="C53" s="104" t="str">
        <f>IF(ele[[#This Row],[ر. المادة]]&lt;&gt; "",VLOOKUP(ele[[#This Row],[ر. المادة]],sammary[[رمز المادة]:[اسم المادة]],2,FALSE),"")</f>
        <v>بركر 14 عادي</v>
      </c>
      <c r="D53" s="24">
        <v>26</v>
      </c>
      <c r="E53" s="74"/>
    </row>
    <row r="54" spans="1:5" ht="20.100000000000001" customHeight="1">
      <c r="A54" s="11"/>
      <c r="B54" s="12">
        <v>141</v>
      </c>
      <c r="C54" s="12" t="str">
        <f>IF(ele[[#This Row],[ر. المادة]]&lt;&gt; "",VLOOKUP(ele[[#This Row],[ر. المادة]],sammary[[رمز المادة]:[اسم المادة]],2,FALSE),"")</f>
        <v>بركر 14 عادي</v>
      </c>
      <c r="D54" s="24">
        <v>28</v>
      </c>
      <c r="E54" s="74"/>
    </row>
    <row r="55" spans="1:5" ht="20.100000000000001" customHeight="1">
      <c r="A55" s="11"/>
      <c r="B55" s="12">
        <v>141</v>
      </c>
      <c r="C55" s="12" t="str">
        <f>IF(ele[[#This Row],[ر. المادة]]&lt;&gt; "",VLOOKUP(ele[[#This Row],[ر. المادة]],sammary[[رمز المادة]:[اسم المادة]],2,FALSE),"")</f>
        <v>بركر 14 عادي</v>
      </c>
      <c r="D55" s="24">
        <v>26</v>
      </c>
      <c r="E55" s="74"/>
    </row>
    <row r="56" spans="1:5" ht="20.100000000000001" customHeight="1">
      <c r="A56" s="11"/>
      <c r="B56" s="12">
        <v>141</v>
      </c>
      <c r="C56" s="12" t="str">
        <f>IF(ele[[#This Row],[ر. المادة]]&lt;&gt; "",VLOOKUP(ele[[#This Row],[ر. المادة]],sammary[[رمز المادة]:[اسم المادة]],2,FALSE),"")</f>
        <v>بركر 14 عادي</v>
      </c>
      <c r="D56" s="24">
        <v>26</v>
      </c>
      <c r="E56" s="74"/>
    </row>
    <row r="57" spans="1:5" ht="20.100000000000001" customHeight="1">
      <c r="A57" s="11"/>
      <c r="B57" s="12">
        <v>141</v>
      </c>
      <c r="C57" s="12" t="str">
        <f>IF(ele[[#This Row],[ر. المادة]]&lt;&gt; "",VLOOKUP(ele[[#This Row],[ر. المادة]],sammary[[رمز المادة]:[اسم المادة]],2,FALSE),"")</f>
        <v>بركر 14 عادي</v>
      </c>
      <c r="D57" s="24">
        <v>25</v>
      </c>
      <c r="E57" s="74"/>
    </row>
    <row r="58" spans="1:5" ht="20.100000000000001" customHeight="1">
      <c r="A58" s="11"/>
      <c r="B58" s="12">
        <v>141</v>
      </c>
      <c r="C58" s="12" t="str">
        <f>IF(ele[[#This Row],[ر. المادة]]&lt;&gt; "",VLOOKUP(ele[[#This Row],[ر. المادة]],sammary[[رمز المادة]:[اسم المادة]],2,FALSE),"")</f>
        <v>بركر 14 عادي</v>
      </c>
      <c r="D58" s="24">
        <v>25</v>
      </c>
      <c r="E58" s="74"/>
    </row>
    <row r="59" spans="1:5" ht="20.100000000000001" customHeight="1">
      <c r="A59" s="11"/>
      <c r="B59" s="12">
        <v>142</v>
      </c>
      <c r="C59" s="104" t="str">
        <f>IF(ele[[#This Row],[ر. المادة]]&lt;&gt; "",VLOOKUP(ele[[#This Row],[ر. المادة]],sammary[[رمز المادة]:[اسم المادة]],2,FALSE),"")</f>
        <v>بركر 14 بوليش</v>
      </c>
      <c r="D59" s="24">
        <v>26</v>
      </c>
      <c r="E59" s="74">
        <v>2</v>
      </c>
    </row>
    <row r="60" spans="1:5" ht="20.100000000000001" customHeight="1">
      <c r="A60" s="11"/>
      <c r="B60" s="12">
        <v>142</v>
      </c>
      <c r="C60" s="104" t="str">
        <f>IF(ele[[#This Row],[ر. المادة]]&lt;&gt; "",VLOOKUP(ele[[#This Row],[ر. المادة]],sammary[[رمز المادة]:[اسم المادة]],2,FALSE),"")</f>
        <v>بركر 14 بوليش</v>
      </c>
      <c r="D60" s="24">
        <v>24</v>
      </c>
      <c r="E60" s="74">
        <v>1</v>
      </c>
    </row>
    <row r="61" spans="1:5" ht="20.100000000000001" customHeight="1">
      <c r="A61" s="11"/>
      <c r="B61" s="12">
        <v>142</v>
      </c>
      <c r="C61" s="104" t="str">
        <f>IF(ele[[#This Row],[ر. المادة]]&lt;&gt; "",VLOOKUP(ele[[#This Row],[ر. المادة]],sammary[[رمز المادة]:[اسم المادة]],2,FALSE),"")</f>
        <v>بركر 14 بوليش</v>
      </c>
      <c r="D61" s="24">
        <v>26</v>
      </c>
      <c r="E61" s="74"/>
    </row>
    <row r="62" spans="1:5" ht="20.100000000000001" customHeight="1">
      <c r="A62" s="11"/>
      <c r="B62" s="12">
        <v>142</v>
      </c>
      <c r="C62" s="104" t="str">
        <f>IF(ele[[#This Row],[ر. المادة]]&lt;&gt; "",VLOOKUP(ele[[#This Row],[ر. المادة]],sammary[[رمز المادة]:[اسم المادة]],2,FALSE),"")</f>
        <v>بركر 14 بوليش</v>
      </c>
      <c r="D62" s="24">
        <v>26</v>
      </c>
      <c r="E62" s="74"/>
    </row>
    <row r="63" spans="1:5" ht="20.100000000000001" customHeight="1">
      <c r="A63" s="11"/>
      <c r="B63" s="12">
        <v>142</v>
      </c>
      <c r="C63" s="104" t="str">
        <f>IF(ele[[#This Row],[ر. المادة]]&lt;&gt; "",VLOOKUP(ele[[#This Row],[ر. المادة]],sammary[[رمز المادة]:[اسم المادة]],2,FALSE),"")</f>
        <v>بركر 14 بوليش</v>
      </c>
      <c r="D63" s="24">
        <v>25</v>
      </c>
      <c r="E63" s="74"/>
    </row>
    <row r="64" spans="1:5" ht="20.100000000000001" customHeight="1">
      <c r="A64" s="11"/>
      <c r="B64" s="12">
        <v>142</v>
      </c>
      <c r="C64" s="104" t="str">
        <f>IF(ele[[#This Row],[ر. المادة]]&lt;&gt; "",VLOOKUP(ele[[#This Row],[ر. المادة]],sammary[[رمز المادة]:[اسم المادة]],2,FALSE),"")</f>
        <v>بركر 14 بوليش</v>
      </c>
      <c r="D64" s="24">
        <v>26</v>
      </c>
      <c r="E64" s="74"/>
    </row>
    <row r="65" spans="1:5" ht="20.100000000000001" customHeight="1">
      <c r="A65" s="11"/>
      <c r="B65" s="12">
        <v>142</v>
      </c>
      <c r="C65" s="104" t="str">
        <f>IF(ele[[#This Row],[ر. المادة]]&lt;&gt; "",VLOOKUP(ele[[#This Row],[ر. المادة]],sammary[[رمز المادة]:[اسم المادة]],2,FALSE),"")</f>
        <v>بركر 14 بوليش</v>
      </c>
      <c r="D65" s="24">
        <v>26</v>
      </c>
      <c r="E65" s="74"/>
    </row>
    <row r="66" spans="1:5" ht="20.100000000000001" customHeight="1">
      <c r="A66" s="11"/>
      <c r="B66" s="12">
        <v>142</v>
      </c>
      <c r="C66" s="104" t="str">
        <f>IF(ele[[#This Row],[ر. المادة]]&lt;&gt; "",VLOOKUP(ele[[#This Row],[ر. المادة]],sammary[[رمز المادة]:[اسم المادة]],2,FALSE),"")</f>
        <v>بركر 14 بوليش</v>
      </c>
      <c r="D66" s="24">
        <v>25</v>
      </c>
      <c r="E66" s="74"/>
    </row>
    <row r="67" spans="1:5" ht="20.100000000000001" customHeight="1">
      <c r="A67" s="106"/>
      <c r="B67" s="12">
        <v>142</v>
      </c>
      <c r="C67" s="104" t="str">
        <f>IF(ele[[#This Row],[ر. المادة]]&lt;&gt; "",VLOOKUP(ele[[#This Row],[ر. المادة]],sammary[[رمز المادة]:[اسم المادة]],2,FALSE),"")</f>
        <v>بركر 14 بوليش</v>
      </c>
      <c r="D67" s="24">
        <v>24</v>
      </c>
      <c r="E67" s="74"/>
    </row>
    <row r="68" spans="1:5" ht="20.100000000000001" customHeight="1">
      <c r="A68" s="106"/>
      <c r="B68" s="12">
        <v>142</v>
      </c>
      <c r="C68" s="104" t="str">
        <f>IF(ele[[#This Row],[ر. المادة]]&lt;&gt; "",VLOOKUP(ele[[#This Row],[ر. المادة]],sammary[[رمز المادة]:[اسم المادة]],2,FALSE),"")</f>
        <v>بركر 14 بوليش</v>
      </c>
      <c r="D68" s="24">
        <v>26</v>
      </c>
      <c r="E68" s="74"/>
    </row>
    <row r="69" spans="1:5" ht="20.100000000000001" customHeight="1">
      <c r="A69" s="11"/>
      <c r="B69" s="12">
        <v>142</v>
      </c>
      <c r="C69" s="104" t="str">
        <f>IF(ele[[#This Row],[ر. المادة]]&lt;&gt; "",VLOOKUP(ele[[#This Row],[ر. المادة]],sammary[[رمز المادة]:[اسم المادة]],2,FALSE),"")</f>
        <v>بركر 14 بوليش</v>
      </c>
      <c r="D69" s="24">
        <v>26</v>
      </c>
      <c r="E69" s="74"/>
    </row>
    <row r="70" spans="1:5" ht="20.100000000000001" customHeight="1">
      <c r="A70" s="11"/>
      <c r="B70" s="12">
        <v>142</v>
      </c>
      <c r="C70" s="104" t="str">
        <f>IF(ele[[#This Row],[ر. المادة]]&lt;&gt; "",VLOOKUP(ele[[#This Row],[ر. المادة]],sammary[[رمز المادة]:[اسم المادة]],2,FALSE),"")</f>
        <v>بركر 14 بوليش</v>
      </c>
      <c r="D70" s="24">
        <v>26</v>
      </c>
      <c r="E70" s="74"/>
    </row>
    <row r="71" spans="1:5" ht="20.100000000000001" customHeight="1">
      <c r="A71" s="106"/>
      <c r="B71" s="12">
        <v>142</v>
      </c>
      <c r="C71" s="104" t="str">
        <f>IF(ele[[#This Row],[ر. المادة]]&lt;&gt; "",VLOOKUP(ele[[#This Row],[ر. المادة]],sammary[[رمز المادة]:[اسم المادة]],2,FALSE),"")</f>
        <v>بركر 14 بوليش</v>
      </c>
      <c r="D71" s="24">
        <v>26</v>
      </c>
      <c r="E71" s="74"/>
    </row>
    <row r="72" spans="1:5" ht="20.100000000000001" customHeight="1">
      <c r="A72" s="11"/>
      <c r="B72" s="12">
        <v>142</v>
      </c>
      <c r="C72" s="104" t="str">
        <f>IF(ele[[#This Row],[ر. المادة]]&lt;&gt; "",VLOOKUP(ele[[#This Row],[ر. المادة]],sammary[[رمز المادة]:[اسم المادة]],2,FALSE),"")</f>
        <v>بركر 14 بوليش</v>
      </c>
      <c r="D72" s="24">
        <v>26</v>
      </c>
      <c r="E72" s="74"/>
    </row>
    <row r="73" spans="1:5" ht="20.100000000000001" customHeight="1">
      <c r="A73" s="11"/>
      <c r="B73" s="12">
        <v>142</v>
      </c>
      <c r="C73" s="104" t="str">
        <f>IF(ele[[#This Row],[ر. المادة]]&lt;&gt; "",VLOOKUP(ele[[#This Row],[ر. المادة]],sammary[[رمز المادة]:[اسم المادة]],2,FALSE),"")</f>
        <v>بركر 14 بوليش</v>
      </c>
      <c r="D73" s="24">
        <v>26</v>
      </c>
      <c r="E73" s="74"/>
    </row>
    <row r="74" spans="1:5" ht="20.100000000000001" customHeight="1">
      <c r="A74" s="11"/>
      <c r="B74" s="12">
        <v>142</v>
      </c>
      <c r="C74" s="104" t="str">
        <f>IF(ele[[#This Row],[ر. المادة]]&lt;&gt; "",VLOOKUP(ele[[#This Row],[ر. المادة]],sammary[[رمز المادة]:[اسم المادة]],2,FALSE),"")</f>
        <v>بركر 14 بوليش</v>
      </c>
      <c r="D74" s="24">
        <v>26</v>
      </c>
      <c r="E74" s="74"/>
    </row>
    <row r="75" spans="1:5" ht="20.100000000000001" customHeight="1">
      <c r="A75" s="106"/>
      <c r="B75" s="12">
        <v>142</v>
      </c>
      <c r="C75" s="104" t="str">
        <f>IF(ele[[#This Row],[ر. المادة]]&lt;&gt; "",VLOOKUP(ele[[#This Row],[ر. المادة]],sammary[[رمز المادة]:[اسم المادة]],2,FALSE),"")</f>
        <v>بركر 14 بوليش</v>
      </c>
      <c r="D75" s="24">
        <v>26</v>
      </c>
      <c r="E75" s="74"/>
    </row>
    <row r="76" spans="1:5" ht="20.100000000000001" customHeight="1">
      <c r="A76" s="11"/>
      <c r="B76" s="12">
        <v>142</v>
      </c>
      <c r="C76" s="104" t="str">
        <f>IF(ele[[#This Row],[ر. المادة]]&lt;&gt; "",VLOOKUP(ele[[#This Row],[ر. المادة]],sammary[[رمز المادة]:[اسم المادة]],2,FALSE),"")</f>
        <v>بركر 14 بوليش</v>
      </c>
      <c r="D76" s="24">
        <v>22</v>
      </c>
      <c r="E76" s="74"/>
    </row>
    <row r="77" spans="1:5" ht="20.100000000000001" customHeight="1">
      <c r="A77" s="11"/>
      <c r="B77" s="12">
        <v>142</v>
      </c>
      <c r="C77" s="104" t="str">
        <f>IF(ele[[#This Row],[ر. المادة]]&lt;&gt; "",VLOOKUP(ele[[#This Row],[ر. المادة]],sammary[[رمز المادة]:[اسم المادة]],2,FALSE),"")</f>
        <v>بركر 14 بوليش</v>
      </c>
      <c r="D77" s="24">
        <v>26</v>
      </c>
      <c r="E77" s="74"/>
    </row>
    <row r="78" spans="1:5" ht="20.100000000000001" customHeight="1">
      <c r="A78" s="106"/>
      <c r="B78" s="12">
        <v>142</v>
      </c>
      <c r="C78" s="104" t="str">
        <f>IF(ele[[#This Row],[ر. المادة]]&lt;&gt; "",VLOOKUP(ele[[#This Row],[ر. المادة]],sammary[[رمز المادة]:[اسم المادة]],2,FALSE),"")</f>
        <v>بركر 14 بوليش</v>
      </c>
      <c r="D78" s="24">
        <v>26</v>
      </c>
      <c r="E78" s="74"/>
    </row>
    <row r="79" spans="1:5" ht="20.100000000000001" customHeight="1">
      <c r="A79" s="11"/>
      <c r="B79" s="12">
        <v>142</v>
      </c>
      <c r="C79" s="104" t="str">
        <f>IF(ele[[#This Row],[ر. المادة]]&lt;&gt; "",VLOOKUP(ele[[#This Row],[ر. المادة]],sammary[[رمز المادة]:[اسم المادة]],2,FALSE),"")</f>
        <v>بركر 14 بوليش</v>
      </c>
      <c r="D79" s="24">
        <v>26</v>
      </c>
      <c r="E79" s="74"/>
    </row>
    <row r="80" spans="1:5" ht="20.100000000000001" customHeight="1">
      <c r="A80" s="11"/>
      <c r="B80" s="104">
        <v>143</v>
      </c>
      <c r="C80" s="104" t="str">
        <f>IF(ele[[#This Row],[ر. المادة]]&lt;&gt; "",VLOOKUP(ele[[#This Row],[ر. المادة]],sammary[[رمز المادة]:[اسم المادة]],2,FALSE),"")</f>
        <v>بركر 14 بطاطا</v>
      </c>
      <c r="D80" s="24">
        <v>22</v>
      </c>
      <c r="E80" s="74"/>
    </row>
    <row r="81" spans="1:5" ht="20.100000000000001" customHeight="1">
      <c r="A81" s="106"/>
      <c r="B81" s="104">
        <v>143</v>
      </c>
      <c r="C81" s="104" t="str">
        <f>IF(ele[[#This Row],[ر. المادة]]&lt;&gt; "",VLOOKUP(ele[[#This Row],[ر. المادة]],sammary[[رمز المادة]:[اسم المادة]],2,FALSE),"")</f>
        <v>بركر 14 بطاطا</v>
      </c>
      <c r="D81" s="24">
        <v>11</v>
      </c>
      <c r="E81" s="74"/>
    </row>
    <row r="82" spans="1:5" ht="20.100000000000001" customHeight="1">
      <c r="A82" s="11"/>
      <c r="B82" s="104">
        <v>143</v>
      </c>
      <c r="C82" s="104" t="str">
        <f>IF(ele[[#This Row],[ر. المادة]]&lt;&gt; "",VLOOKUP(ele[[#This Row],[ر. المادة]],sammary[[رمز المادة]:[اسم المادة]],2,FALSE),"")</f>
        <v>بركر 14 بطاطا</v>
      </c>
      <c r="D82" s="24">
        <v>26</v>
      </c>
      <c r="E82" s="74"/>
    </row>
    <row r="83" spans="1:5" ht="20.100000000000001" customHeight="1">
      <c r="A83" s="11"/>
      <c r="B83" s="104">
        <v>143</v>
      </c>
      <c r="C83" s="104" t="str">
        <f>IF(ele[[#This Row],[ر. المادة]]&lt;&gt; "",VLOOKUP(ele[[#This Row],[ر. المادة]],sammary[[رمز المادة]:[اسم المادة]],2,FALSE),"")</f>
        <v>بركر 14 بطاطا</v>
      </c>
      <c r="D83" s="24">
        <v>26</v>
      </c>
      <c r="E83" s="74"/>
    </row>
    <row r="84" spans="1:5" ht="20.100000000000001" customHeight="1">
      <c r="A84" s="11"/>
      <c r="B84" s="104">
        <v>143</v>
      </c>
      <c r="C84" s="104" t="str">
        <f>IF(ele[[#This Row],[ر. المادة]]&lt;&gt; "",VLOOKUP(ele[[#This Row],[ر. المادة]],sammary[[رمز المادة]:[اسم المادة]],2,FALSE),"")</f>
        <v>بركر 14 بطاطا</v>
      </c>
      <c r="D84" s="24">
        <v>26</v>
      </c>
      <c r="E84" s="74"/>
    </row>
    <row r="85" spans="1:5" ht="20.100000000000001" customHeight="1">
      <c r="A85" s="11"/>
      <c r="B85" s="104">
        <v>143</v>
      </c>
      <c r="C85" s="104" t="str">
        <f>IF(ele[[#This Row],[ر. المادة]]&lt;&gt; "",VLOOKUP(ele[[#This Row],[ر. المادة]],sammary[[رمز المادة]:[اسم المادة]],2,FALSE),"")</f>
        <v>بركر 14 بطاطا</v>
      </c>
      <c r="D85" s="24">
        <v>26</v>
      </c>
      <c r="E85" s="74"/>
    </row>
    <row r="86" spans="1:5" ht="20.100000000000001" customHeight="1">
      <c r="A86" s="11"/>
      <c r="B86" s="104">
        <v>101</v>
      </c>
      <c r="C86" s="12" t="str">
        <f>IF(ele[[#This Row],[ر. المادة]]&lt;&gt; "",VLOOKUP(ele[[#This Row],[ر. المادة]],sammary[[رمز المادة]:[اسم المادة]],2,FALSE),"")</f>
        <v>بركر 10 عادي</v>
      </c>
      <c r="D86" s="24">
        <v>26</v>
      </c>
      <c r="E86" s="74"/>
    </row>
    <row r="87" spans="1:5" ht="20.100000000000001" customHeight="1">
      <c r="A87" s="11"/>
      <c r="B87" s="104">
        <v>666</v>
      </c>
      <c r="C87" s="12" t="str">
        <f>IF(ele[[#This Row],[ر. المادة]]&lt;&gt; "",VLOOKUP(ele[[#This Row],[ر. المادة]],sammary[[رمز المادة]:[اسم المادة]],2,FALSE),"")</f>
        <v>مثلث</v>
      </c>
      <c r="D87" s="24">
        <v>10</v>
      </c>
      <c r="E87" s="74"/>
    </row>
    <row r="88" spans="1:5" ht="20.100000000000001" customHeight="1">
      <c r="A88" s="11"/>
      <c r="B88" s="104">
        <v>131</v>
      </c>
      <c r="C88" s="12" t="str">
        <f>IF(ele[[#This Row],[ر. المادة]]&lt;&gt; "",VLOOKUP(ele[[#This Row],[ر. المادة]],sammary[[رمز المادة]:[اسم المادة]],2,FALSE),"")</f>
        <v>بركر 13 عادي</v>
      </c>
      <c r="D88" s="24">
        <v>15</v>
      </c>
      <c r="E88" s="74"/>
    </row>
    <row r="89" spans="1:5" ht="20.100000000000001" customHeight="1">
      <c r="A89" s="11"/>
      <c r="B89" s="104">
        <v>132</v>
      </c>
      <c r="C89" s="12" t="str">
        <f>IF(ele[[#This Row],[ر. المادة]]&lt;&gt; "",VLOOKUP(ele[[#This Row],[ر. المادة]],sammary[[رمز المادة]:[اسم المادة]],2,FALSE),"")</f>
        <v>بركر 13 بوليش</v>
      </c>
      <c r="D89" s="24">
        <v>18</v>
      </c>
      <c r="E89" s="74"/>
    </row>
    <row r="90" spans="1:5" ht="20.100000000000001" customHeight="1">
      <c r="A90" s="11"/>
      <c r="B90" s="104">
        <v>132</v>
      </c>
      <c r="C90" s="12" t="str">
        <f>IF(ele[[#This Row],[ر. المادة]]&lt;&gt; "",VLOOKUP(ele[[#This Row],[ر. المادة]],sammary[[رمز المادة]:[اسم المادة]],2,FALSE),"")</f>
        <v>بركر 13 بوليش</v>
      </c>
      <c r="D90" s="24">
        <v>25</v>
      </c>
      <c r="E90" s="74"/>
    </row>
    <row r="91" spans="1:5" ht="20.100000000000001" customHeight="1">
      <c r="A91" s="11"/>
      <c r="B91" s="104">
        <v>133</v>
      </c>
      <c r="C91" s="12" t="str">
        <f>IF(ele[[#This Row],[ر. المادة]]&lt;&gt; "",VLOOKUP(ele[[#This Row],[ر. المادة]],sammary[[رمز المادة]:[اسم المادة]],2,FALSE),"")</f>
        <v>بركر 13 بطاطا</v>
      </c>
      <c r="D91" s="24">
        <v>26</v>
      </c>
      <c r="E91" s="74"/>
    </row>
    <row r="92" spans="1:5" ht="20.100000000000001" customHeight="1">
      <c r="A92" s="11"/>
      <c r="B92" s="104">
        <v>133</v>
      </c>
      <c r="C92" s="12" t="str">
        <f>IF(ele[[#This Row],[ر. المادة]]&lt;&gt; "",VLOOKUP(ele[[#This Row],[ر. المادة]],sammary[[رمز المادة]:[اسم المادة]],2,FALSE),"")</f>
        <v>بركر 13 بطاطا</v>
      </c>
      <c r="D92" s="24">
        <v>31</v>
      </c>
      <c r="E92" s="74"/>
    </row>
    <row r="93" spans="1:5" ht="20.100000000000001" customHeight="1">
      <c r="A93" s="11"/>
      <c r="B93" s="104">
        <v>133</v>
      </c>
      <c r="C93" s="12" t="str">
        <f>IF(ele[[#This Row],[ر. المادة]]&lt;&gt; "",VLOOKUP(ele[[#This Row],[ر. المادة]],sammary[[رمز المادة]:[اسم المادة]],2,FALSE),"")</f>
        <v>بركر 13 بطاطا</v>
      </c>
      <c r="D93" s="24">
        <v>12</v>
      </c>
      <c r="E93" s="74"/>
    </row>
    <row r="94" spans="1:5" ht="20.100000000000001" customHeight="1">
      <c r="A94" s="11"/>
      <c r="B94" s="104">
        <v>133</v>
      </c>
      <c r="C94" s="12" t="str">
        <f>IF(ele[[#This Row],[ر. المادة]]&lt;&gt; "",VLOOKUP(ele[[#This Row],[ر. المادة]],sammary[[رمز المادة]:[اسم المادة]],2,FALSE),"")</f>
        <v>بركر 13 بطاطا</v>
      </c>
      <c r="D94" s="24">
        <v>13</v>
      </c>
      <c r="E94" s="74"/>
    </row>
    <row r="95" spans="1:5" ht="20.100000000000001" customHeight="1">
      <c r="A95" s="11"/>
      <c r="B95" s="104">
        <v>11</v>
      </c>
      <c r="C95" s="12" t="str">
        <f>IF(ele[[#This Row],[ر. المادة]]&lt;&gt; "",VLOOKUP(ele[[#This Row],[ر. المادة]],sammary[[رمز المادة]:[اسم المادة]],2,FALSE),"")</f>
        <v>بركر 11</v>
      </c>
      <c r="D95" s="24">
        <v>3</v>
      </c>
      <c r="E95" s="74"/>
    </row>
    <row r="96" spans="1:5" ht="20.100000000000001" customHeight="1">
      <c r="A96" s="11"/>
      <c r="B96" s="104">
        <v>11</v>
      </c>
      <c r="C96" s="12" t="str">
        <f>IF(ele[[#This Row],[ر. المادة]]&lt;&gt; "",VLOOKUP(ele[[#This Row],[ر. المادة]],sammary[[رمز المادة]:[اسم المادة]],2,FALSE),"")</f>
        <v>بركر 11</v>
      </c>
      <c r="D96" s="24">
        <v>29</v>
      </c>
      <c r="E96" s="74">
        <v>1</v>
      </c>
    </row>
    <row r="97" spans="1:5" ht="20.100000000000001" customHeight="1">
      <c r="A97" s="11"/>
      <c r="B97" s="104">
        <v>51</v>
      </c>
      <c r="C97" s="12" t="str">
        <f>IF(ele[[#This Row],[ر. المادة]]&lt;&gt; "",VLOOKUP(ele[[#This Row],[ر. المادة]],sammary[[رمز المادة]:[اسم المادة]],2,FALSE),"")</f>
        <v>همام عادي</v>
      </c>
      <c r="D97" s="24">
        <v>8</v>
      </c>
      <c r="E97" s="74"/>
    </row>
    <row r="98" spans="1:5" ht="20.100000000000001" customHeight="1">
      <c r="A98" s="11"/>
      <c r="B98" s="104">
        <v>52</v>
      </c>
      <c r="C98" s="12" t="str">
        <f>IF(ele[[#This Row],[ر. المادة]]&lt;&gt; "",VLOOKUP(ele[[#This Row],[ر. المادة]],sammary[[رمز المادة]:[اسم المادة]],2,FALSE),"")</f>
        <v>همام مشرح</v>
      </c>
      <c r="D98" s="24">
        <v>3</v>
      </c>
      <c r="E98" s="74"/>
    </row>
    <row r="99" spans="1:5" ht="20.100000000000001" customHeight="1">
      <c r="A99" s="11"/>
      <c r="B99" s="12">
        <v>261</v>
      </c>
      <c r="C99" s="12" t="str">
        <f>IF(ele[[#This Row],[ر. المادة]]&lt;&gt; "",VLOOKUP(ele[[#This Row],[ر. المادة]],sammary[[رمز المادة]:[اسم المادة]],2,FALSE),"")</f>
        <v>فلر 26 عادي</v>
      </c>
      <c r="D99" s="24">
        <v>24</v>
      </c>
      <c r="E99" s="74">
        <v>2</v>
      </c>
    </row>
    <row r="100" spans="1:5" ht="20.100000000000001" customHeight="1">
      <c r="A100" s="11"/>
      <c r="B100" s="12">
        <v>261</v>
      </c>
      <c r="C100" s="12" t="str">
        <f>IF(ele[[#This Row],[ر. المادة]]&lt;&gt; "",VLOOKUP(ele[[#This Row],[ر. المادة]],sammary[[رمز المادة]:[اسم المادة]],2,FALSE),"")</f>
        <v>فلر 26 عادي</v>
      </c>
      <c r="D100" s="24">
        <v>24</v>
      </c>
      <c r="E100" s="74">
        <v>1</v>
      </c>
    </row>
    <row r="101" spans="1:5" ht="20.100000000000001" customHeight="1">
      <c r="A101" s="11"/>
      <c r="B101" s="12">
        <v>261</v>
      </c>
      <c r="C101" s="12" t="str">
        <f>IF(ele[[#This Row],[ر. المادة]]&lt;&gt; "",VLOOKUP(ele[[#This Row],[ر. المادة]],sammary[[رمز المادة]:[اسم المادة]],2,FALSE),"")</f>
        <v>فلر 26 عادي</v>
      </c>
      <c r="D101" s="24">
        <v>32</v>
      </c>
      <c r="E101" s="74">
        <v>6</v>
      </c>
    </row>
    <row r="102" spans="1:5" ht="20.100000000000001" customHeight="1">
      <c r="A102" s="11"/>
      <c r="B102" s="12">
        <v>261</v>
      </c>
      <c r="C102" s="12" t="str">
        <f>IF(ele[[#This Row],[ر. المادة]]&lt;&gt; "",VLOOKUP(ele[[#This Row],[ر. المادة]],sammary[[رمز المادة]:[اسم المادة]],2,FALSE),"")</f>
        <v>فلر 26 عادي</v>
      </c>
      <c r="D102" s="24">
        <v>26</v>
      </c>
      <c r="E102" s="74">
        <v>3</v>
      </c>
    </row>
    <row r="103" spans="1:5" ht="20.100000000000001" customHeight="1">
      <c r="A103" s="11"/>
      <c r="B103" s="12">
        <v>261</v>
      </c>
      <c r="C103" s="12" t="str">
        <f>IF(ele[[#This Row],[ر. المادة]]&lt;&gt; "",VLOOKUP(ele[[#This Row],[ر. المادة]],sammary[[رمز المادة]:[اسم المادة]],2,FALSE),"")</f>
        <v>فلر 26 عادي</v>
      </c>
      <c r="D103" s="24">
        <v>24</v>
      </c>
      <c r="E103" s="74">
        <v>11</v>
      </c>
    </row>
    <row r="104" spans="1:5" ht="20.100000000000001" customHeight="1">
      <c r="A104" s="11"/>
      <c r="B104" s="12">
        <v>261</v>
      </c>
      <c r="C104" s="12" t="str">
        <f>IF(ele[[#This Row],[ر. المادة]]&lt;&gt; "",VLOOKUP(ele[[#This Row],[ر. المادة]],sammary[[رمز المادة]:[اسم المادة]],2,FALSE),"")</f>
        <v>فلر 26 عادي</v>
      </c>
      <c r="D104" s="24">
        <v>24</v>
      </c>
      <c r="E104" s="74">
        <v>6</v>
      </c>
    </row>
    <row r="105" spans="1:5" ht="20.100000000000001" customHeight="1">
      <c r="A105" s="11"/>
      <c r="B105" s="12">
        <v>261</v>
      </c>
      <c r="C105" s="12" t="str">
        <f>IF(ele[[#This Row],[ر. المادة]]&lt;&gt; "",VLOOKUP(ele[[#This Row],[ر. المادة]],sammary[[رمز المادة]:[اسم المادة]],2,FALSE),"")</f>
        <v>فلر 26 عادي</v>
      </c>
      <c r="D105" s="24">
        <v>21</v>
      </c>
      <c r="E105" s="74"/>
    </row>
    <row r="106" spans="1:5" ht="20.100000000000001" customHeight="1">
      <c r="A106" s="11"/>
      <c r="B106" s="12">
        <v>261</v>
      </c>
      <c r="C106" s="12" t="str">
        <f>IF(ele[[#This Row],[ر. المادة]]&lt;&gt; "",VLOOKUP(ele[[#This Row],[ر. المادة]],sammary[[رمز المادة]:[اسم المادة]],2,FALSE),"")</f>
        <v>فلر 26 عادي</v>
      </c>
      <c r="D106" s="24">
        <v>32</v>
      </c>
      <c r="E106" s="74">
        <v>26</v>
      </c>
    </row>
    <row r="107" spans="1:5" ht="20.100000000000001" customHeight="1">
      <c r="A107" s="11"/>
      <c r="B107" s="12">
        <v>261</v>
      </c>
      <c r="C107" s="12" t="str">
        <f>IF(ele[[#This Row],[ر. المادة]]&lt;&gt; "",VLOOKUP(ele[[#This Row],[ر. المادة]],sammary[[رمز المادة]:[اسم المادة]],2,FALSE),"")</f>
        <v>فلر 26 عادي</v>
      </c>
      <c r="D107" s="24">
        <v>24</v>
      </c>
      <c r="E107" s="74">
        <v>3</v>
      </c>
    </row>
    <row r="108" spans="1:5" ht="20.100000000000001" customHeight="1">
      <c r="A108" s="11"/>
      <c r="B108" s="12">
        <v>261</v>
      </c>
      <c r="C108" s="12" t="str">
        <f>IF(ele[[#This Row],[ر. المادة]]&lt;&gt; "",VLOOKUP(ele[[#This Row],[ر. المادة]],sammary[[رمز المادة]:[اسم المادة]],2,FALSE),"")</f>
        <v>فلر 26 عادي</v>
      </c>
      <c r="D108" s="24">
        <v>32</v>
      </c>
      <c r="E108" s="74">
        <v>6</v>
      </c>
    </row>
    <row r="109" spans="1:5" ht="20.100000000000001" customHeight="1">
      <c r="A109" s="11"/>
      <c r="B109" s="12">
        <v>261</v>
      </c>
      <c r="C109" s="12" t="str">
        <f>IF(ele[[#This Row],[ر. المادة]]&lt;&gt; "",VLOOKUP(ele[[#This Row],[ر. المادة]],sammary[[رمز المادة]:[اسم المادة]],2,FALSE),"")</f>
        <v>فلر 26 عادي</v>
      </c>
      <c r="D109" s="24">
        <v>32</v>
      </c>
      <c r="E109" s="74">
        <v>5</v>
      </c>
    </row>
    <row r="110" spans="1:5" ht="20.100000000000001" customHeight="1">
      <c r="A110" s="11"/>
      <c r="B110" s="12">
        <v>261</v>
      </c>
      <c r="C110" s="12" t="str">
        <f>IF(ele[[#This Row],[ر. المادة]]&lt;&gt; "",VLOOKUP(ele[[#This Row],[ر. المادة]],sammary[[رمز المادة]:[اسم المادة]],2,FALSE),"")</f>
        <v>فلر 26 عادي</v>
      </c>
      <c r="D110" s="24">
        <v>25</v>
      </c>
      <c r="E110" s="74">
        <v>14</v>
      </c>
    </row>
    <row r="111" spans="1:5" ht="20.100000000000001" customHeight="1">
      <c r="A111" s="11"/>
      <c r="B111" s="12">
        <v>261</v>
      </c>
      <c r="C111" s="12" t="str">
        <f>IF(ele[[#This Row],[ر. المادة]]&lt;&gt; "",VLOOKUP(ele[[#This Row],[ر. المادة]],sammary[[رمز المادة]:[اسم المادة]],2,FALSE),"")</f>
        <v>فلر 26 عادي</v>
      </c>
      <c r="D111" s="24">
        <v>14</v>
      </c>
      <c r="E111" s="74"/>
    </row>
    <row r="112" spans="1:5" ht="20.100000000000001" customHeight="1">
      <c r="A112" s="11"/>
      <c r="B112" s="12">
        <v>261</v>
      </c>
      <c r="C112" s="12" t="str">
        <f>IF(ele[[#This Row],[ر. المادة]]&lt;&gt; "",VLOOKUP(ele[[#This Row],[ر. المادة]],sammary[[رمز المادة]:[اسم المادة]],2,FALSE),"")</f>
        <v>فلر 26 عادي</v>
      </c>
      <c r="D112" s="24">
        <v>24</v>
      </c>
      <c r="E112" s="74">
        <v>2</v>
      </c>
    </row>
    <row r="113" spans="1:5" ht="20.100000000000001" customHeight="1">
      <c r="A113" s="11"/>
      <c r="B113" s="12">
        <v>261</v>
      </c>
      <c r="C113" s="12" t="str">
        <f>IF(ele[[#This Row],[ر. المادة]]&lt;&gt; "",VLOOKUP(ele[[#This Row],[ر. المادة]],sammary[[رمز المادة]:[اسم المادة]],2,FALSE),"")</f>
        <v>فلر 26 عادي</v>
      </c>
      <c r="D113" s="24">
        <v>27</v>
      </c>
      <c r="E113" s="74">
        <v>6</v>
      </c>
    </row>
    <row r="114" spans="1:5" ht="20.100000000000001" customHeight="1">
      <c r="A114" s="11"/>
      <c r="B114" s="12">
        <v>261</v>
      </c>
      <c r="C114" s="12" t="str">
        <f>IF(ele[[#This Row],[ر. المادة]]&lt;&gt; "",VLOOKUP(ele[[#This Row],[ر. المادة]],sammary[[رمز المادة]:[اسم المادة]],2,FALSE),"")</f>
        <v>فلر 26 عادي</v>
      </c>
      <c r="D114" s="24">
        <v>32</v>
      </c>
      <c r="E114" s="74">
        <v>8</v>
      </c>
    </row>
    <row r="115" spans="1:5" ht="20.100000000000001" customHeight="1">
      <c r="A115" s="11"/>
      <c r="B115" s="12">
        <v>261</v>
      </c>
      <c r="C115" s="12" t="str">
        <f>IF(ele[[#This Row],[ر. المادة]]&lt;&gt; "",VLOOKUP(ele[[#This Row],[ر. المادة]],sammary[[رمز المادة]:[اسم المادة]],2,FALSE),"")</f>
        <v>فلر 26 عادي</v>
      </c>
      <c r="D115" s="24">
        <v>26</v>
      </c>
      <c r="E115" s="74">
        <v>9</v>
      </c>
    </row>
    <row r="116" spans="1:5" ht="20.100000000000001" customHeight="1">
      <c r="A116" s="11"/>
      <c r="B116" s="104">
        <v>262</v>
      </c>
      <c r="C116" s="12" t="str">
        <f>IF(ele[[#This Row],[ر. المادة]]&lt;&gt; "",VLOOKUP(ele[[#This Row],[ر. المادة]],sammary[[رمز المادة]:[اسم المادة]],2,FALSE),"")</f>
        <v>فلر 26 بوليش</v>
      </c>
      <c r="D116" s="24">
        <v>26</v>
      </c>
      <c r="E116" s="74">
        <v>5</v>
      </c>
    </row>
    <row r="117" spans="1:5" ht="20.100000000000001" customHeight="1">
      <c r="A117" s="11"/>
      <c r="B117" s="104">
        <v>262</v>
      </c>
      <c r="C117" s="12" t="str">
        <f>IF(ele[[#This Row],[ر. المادة]]&lt;&gt; "",VLOOKUP(ele[[#This Row],[ر. المادة]],sammary[[رمز المادة]:[اسم المادة]],2,FALSE),"")</f>
        <v>فلر 26 بوليش</v>
      </c>
      <c r="D117" s="24">
        <v>26</v>
      </c>
      <c r="E117" s="74">
        <v>14</v>
      </c>
    </row>
    <row r="118" spans="1:5" ht="20.100000000000001" customHeight="1">
      <c r="A118" s="11"/>
      <c r="B118" s="104">
        <v>262</v>
      </c>
      <c r="C118" s="12" t="str">
        <f>IF(ele[[#This Row],[ر. المادة]]&lt;&gt; "",VLOOKUP(ele[[#This Row],[ر. المادة]],sammary[[رمز المادة]:[اسم المادة]],2,FALSE),"")</f>
        <v>فلر 26 بوليش</v>
      </c>
      <c r="D118" s="24">
        <v>26</v>
      </c>
      <c r="E118" s="74">
        <v>16</v>
      </c>
    </row>
    <row r="119" spans="1:5" ht="20.100000000000001" customHeight="1">
      <c r="A119" s="11"/>
      <c r="B119" s="104">
        <v>262</v>
      </c>
      <c r="C119" s="12" t="str">
        <f>IF(ele[[#This Row],[ر. المادة]]&lt;&gt; "",VLOOKUP(ele[[#This Row],[ر. المادة]],sammary[[رمز المادة]:[اسم المادة]],2,FALSE),"")</f>
        <v>فلر 26 بوليش</v>
      </c>
      <c r="D119" s="24">
        <v>26</v>
      </c>
      <c r="E119" s="74">
        <v>12</v>
      </c>
    </row>
    <row r="120" spans="1:5" ht="20.100000000000001" customHeight="1">
      <c r="A120" s="11"/>
      <c r="B120" s="104">
        <v>262</v>
      </c>
      <c r="C120" s="12" t="str">
        <f>IF(ele[[#This Row],[ر. المادة]]&lt;&gt; "",VLOOKUP(ele[[#This Row],[ر. المادة]],sammary[[رمز المادة]:[اسم المادة]],2,FALSE),"")</f>
        <v>فلر 26 بوليش</v>
      </c>
      <c r="D120" s="24">
        <v>26</v>
      </c>
      <c r="E120" s="74">
        <v>4</v>
      </c>
    </row>
    <row r="121" spans="1:5" ht="20.100000000000001" customHeight="1">
      <c r="A121" s="11"/>
      <c r="B121" s="104">
        <v>262</v>
      </c>
      <c r="C121" s="12" t="str">
        <f>IF(ele[[#This Row],[ر. المادة]]&lt;&gt; "",VLOOKUP(ele[[#This Row],[ر. المادة]],sammary[[رمز المادة]:[اسم المادة]],2,FALSE),"")</f>
        <v>فلر 26 بوليش</v>
      </c>
      <c r="D121" s="24">
        <v>24</v>
      </c>
      <c r="E121" s="74">
        <v>8</v>
      </c>
    </row>
    <row r="122" spans="1:5" ht="20.100000000000001" customHeight="1">
      <c r="A122" s="11"/>
      <c r="B122" s="104">
        <v>262</v>
      </c>
      <c r="C122" s="12" t="str">
        <f>IF(ele[[#This Row],[ر. المادة]]&lt;&gt; "",VLOOKUP(ele[[#This Row],[ر. المادة]],sammary[[رمز المادة]:[اسم المادة]],2,FALSE),"")</f>
        <v>فلر 26 بوليش</v>
      </c>
      <c r="D122" s="24">
        <v>26</v>
      </c>
      <c r="E122" s="74">
        <v>8</v>
      </c>
    </row>
    <row r="123" spans="1:5" ht="20.100000000000001" customHeight="1">
      <c r="A123" s="11"/>
      <c r="B123" s="104">
        <v>262</v>
      </c>
      <c r="C123" s="12" t="str">
        <f>IF(ele[[#This Row],[ر. المادة]]&lt;&gt; "",VLOOKUP(ele[[#This Row],[ر. المادة]],sammary[[رمز المادة]:[اسم المادة]],2,FALSE),"")</f>
        <v>فلر 26 بوليش</v>
      </c>
      <c r="D123" s="24">
        <v>26</v>
      </c>
      <c r="E123" s="74">
        <v>7</v>
      </c>
    </row>
    <row r="124" spans="1:5" ht="20.100000000000001" customHeight="1">
      <c r="A124" s="11"/>
      <c r="B124" s="104">
        <v>262</v>
      </c>
      <c r="C124" s="12" t="str">
        <f>IF(ele[[#This Row],[ر. المادة]]&lt;&gt; "",VLOOKUP(ele[[#This Row],[ر. المادة]],sammary[[رمز المادة]:[اسم المادة]],2,FALSE),"")</f>
        <v>فلر 26 بوليش</v>
      </c>
      <c r="D124" s="24">
        <v>26</v>
      </c>
      <c r="E124" s="74">
        <v>16</v>
      </c>
    </row>
    <row r="125" spans="1:5" ht="20.100000000000001" customHeight="1">
      <c r="A125" s="11"/>
      <c r="B125" s="104">
        <v>263</v>
      </c>
      <c r="C125" s="12" t="str">
        <f>IF(ele[[#This Row],[ر. المادة]]&lt;&gt; "",VLOOKUP(ele[[#This Row],[ر. المادة]],sammary[[رمز المادة]:[اسم المادة]],2,FALSE),"")</f>
        <v>فلر 26 سميد</v>
      </c>
      <c r="D125" s="24">
        <v>25</v>
      </c>
      <c r="E125" s="74">
        <v>3</v>
      </c>
    </row>
    <row r="126" spans="1:5" ht="20.100000000000001" customHeight="1">
      <c r="A126" s="11"/>
      <c r="B126" s="104">
        <v>263</v>
      </c>
      <c r="C126" s="12" t="str">
        <f>IF(ele[[#This Row],[ر. المادة]]&lt;&gt; "",VLOOKUP(ele[[#This Row],[ر. المادة]],sammary[[رمز المادة]:[اسم المادة]],2,FALSE),"")</f>
        <v>فلر 26 سميد</v>
      </c>
      <c r="D126" s="24">
        <v>26</v>
      </c>
      <c r="E126" s="74">
        <v>8</v>
      </c>
    </row>
    <row r="127" spans="1:5" ht="20.100000000000001" customHeight="1">
      <c r="A127" s="11"/>
      <c r="B127" s="104">
        <v>263</v>
      </c>
      <c r="C127" s="12" t="str">
        <f>IF(ele[[#This Row],[ر. المادة]]&lt;&gt; "",VLOOKUP(ele[[#This Row],[ر. المادة]],sammary[[رمز المادة]:[اسم المادة]],2,FALSE),"")</f>
        <v>فلر 26 سميد</v>
      </c>
      <c r="D127" s="24">
        <v>26</v>
      </c>
      <c r="E127" s="74">
        <v>5</v>
      </c>
    </row>
    <row r="128" spans="1:5" ht="20.100000000000001" customHeight="1">
      <c r="A128" s="11"/>
      <c r="B128" s="104">
        <v>263</v>
      </c>
      <c r="C128" s="12" t="str">
        <f>IF(ele[[#This Row],[ر. المادة]]&lt;&gt; "",VLOOKUP(ele[[#This Row],[ر. المادة]],sammary[[رمز المادة]:[اسم المادة]],2,FALSE),"")</f>
        <v>فلر 26 سميد</v>
      </c>
      <c r="D128" s="24">
        <v>26</v>
      </c>
      <c r="E128" s="74">
        <v>16</v>
      </c>
    </row>
    <row r="129" spans="1:5" ht="20.100000000000001" customHeight="1">
      <c r="A129" s="11"/>
      <c r="B129" s="104">
        <v>32</v>
      </c>
      <c r="C129" s="12" t="str">
        <f>IF(ele[[#This Row],[ر. المادة]]&lt;&gt; "",VLOOKUP(ele[[#This Row],[ر. المادة]],sammary[[رمز المادة]:[اسم المادة]],2,FALSE),"")</f>
        <v>دبل باسطون</v>
      </c>
      <c r="D129" s="24">
        <v>26</v>
      </c>
      <c r="E129" s="74"/>
    </row>
    <row r="130" spans="1:5" ht="20.100000000000001" customHeight="1">
      <c r="A130" s="11"/>
      <c r="B130" s="104">
        <v>32</v>
      </c>
      <c r="C130" s="12" t="str">
        <f>IF(ele[[#This Row],[ر. المادة]]&lt;&gt; "",VLOOKUP(ele[[#This Row],[ر. المادة]],sammary[[رمز المادة]:[اسم المادة]],2,FALSE),"")</f>
        <v>دبل باسطون</v>
      </c>
      <c r="D130" s="24">
        <v>26</v>
      </c>
      <c r="E130" s="74"/>
    </row>
    <row r="131" spans="1:5" ht="20.100000000000001" customHeight="1">
      <c r="A131" s="11"/>
      <c r="B131" s="104">
        <v>32</v>
      </c>
      <c r="C131" s="12" t="str">
        <f>IF(ele[[#This Row],[ر. المادة]]&lt;&gt; "",VLOOKUP(ele[[#This Row],[ر. المادة]],sammary[[رمز المادة]:[اسم المادة]],2,FALSE),"")</f>
        <v>دبل باسطون</v>
      </c>
      <c r="D131" s="24">
        <v>26</v>
      </c>
      <c r="E131" s="74"/>
    </row>
    <row r="132" spans="1:5" ht="20.100000000000001" customHeight="1">
      <c r="A132" s="11"/>
      <c r="B132" s="104">
        <v>32</v>
      </c>
      <c r="C132" s="12" t="str">
        <f>IF(ele[[#This Row],[ر. المادة]]&lt;&gt; "",VLOOKUP(ele[[#This Row],[ر. المادة]],sammary[[رمز المادة]:[اسم المادة]],2,FALSE),"")</f>
        <v>دبل باسطون</v>
      </c>
      <c r="D132" s="24">
        <v>30</v>
      </c>
      <c r="E132" s="74">
        <v>2</v>
      </c>
    </row>
    <row r="133" spans="1:5" ht="20.100000000000001" customHeight="1">
      <c r="A133" s="11"/>
      <c r="B133" s="104">
        <v>32</v>
      </c>
      <c r="C133" s="12" t="str">
        <f>IF(ele[[#This Row],[ر. المادة]]&lt;&gt; "",VLOOKUP(ele[[#This Row],[ر. المادة]],sammary[[رمز المادة]:[اسم المادة]],2,FALSE),"")</f>
        <v>دبل باسطون</v>
      </c>
      <c r="D133" s="24">
        <v>32</v>
      </c>
      <c r="E133" s="74"/>
    </row>
    <row r="134" spans="1:5" ht="20.100000000000001" customHeight="1">
      <c r="A134" s="11"/>
      <c r="B134" s="104">
        <v>32</v>
      </c>
      <c r="C134" s="12" t="str">
        <f>IF(ele[[#This Row],[ر. المادة]]&lt;&gt; "",VLOOKUP(ele[[#This Row],[ر. المادة]],sammary[[رمز المادة]:[اسم المادة]],2,FALSE),"")</f>
        <v>دبل باسطون</v>
      </c>
      <c r="D134" s="24">
        <v>7</v>
      </c>
      <c r="E134" s="74"/>
    </row>
    <row r="135" spans="1:5" ht="20.100000000000001" customHeight="1">
      <c r="A135" s="11"/>
      <c r="B135" s="104">
        <v>32</v>
      </c>
      <c r="C135" s="12" t="str">
        <f>IF(ele[[#This Row],[ر. المادة]]&lt;&gt; "",VLOOKUP(ele[[#This Row],[ر. المادة]],sammary[[رمز المادة]:[اسم المادة]],2,FALSE),"")</f>
        <v>دبل باسطون</v>
      </c>
      <c r="D135" s="24">
        <v>27</v>
      </c>
      <c r="E135" s="74"/>
    </row>
    <row r="136" spans="1:5" ht="20.100000000000001" customHeight="1">
      <c r="A136" s="11"/>
      <c r="B136" s="104">
        <v>32</v>
      </c>
      <c r="C136" s="12" t="str">
        <f>IF(ele[[#This Row],[ر. المادة]]&lt;&gt; "",VLOOKUP(ele[[#This Row],[ر. المادة]],sammary[[رمز المادة]:[اسم المادة]],2,FALSE),"")</f>
        <v>دبل باسطون</v>
      </c>
      <c r="D136" s="24">
        <v>26</v>
      </c>
      <c r="E136" s="74"/>
    </row>
    <row r="137" spans="1:5" ht="20.100000000000001" customHeight="1">
      <c r="A137" s="11"/>
      <c r="B137" s="104">
        <v>32</v>
      </c>
      <c r="C137" s="12" t="str">
        <f>IF(ele[[#This Row],[ر. المادة]]&lt;&gt; "",VLOOKUP(ele[[#This Row],[ر. المادة]],sammary[[رمز المادة]:[اسم المادة]],2,FALSE),"")</f>
        <v>دبل باسطون</v>
      </c>
      <c r="D137" s="24">
        <v>20</v>
      </c>
      <c r="E137" s="74"/>
    </row>
    <row r="138" spans="1:5" ht="20.100000000000001" customHeight="1">
      <c r="A138" s="11"/>
      <c r="B138" s="104">
        <v>32</v>
      </c>
      <c r="C138" s="12" t="str">
        <f>IF(ele[[#This Row],[ر. المادة]]&lt;&gt; "",VLOOKUP(ele[[#This Row],[ر. المادة]],sammary[[رمز المادة]:[اسم المادة]],2,FALSE),"")</f>
        <v>دبل باسطون</v>
      </c>
      <c r="D138" s="24">
        <v>25</v>
      </c>
      <c r="E138" s="74"/>
    </row>
    <row r="139" spans="1:5" ht="20.100000000000001" customHeight="1">
      <c r="A139" s="11"/>
      <c r="B139" s="104">
        <v>32</v>
      </c>
      <c r="C139" s="12" t="str">
        <f>IF(ele[[#This Row],[ر. المادة]]&lt;&gt; "",VLOOKUP(ele[[#This Row],[ر. المادة]],sammary[[رمز المادة]:[اسم المادة]],2,FALSE),"")</f>
        <v>دبل باسطون</v>
      </c>
      <c r="D139" s="24">
        <v>12</v>
      </c>
      <c r="E139" s="74"/>
    </row>
    <row r="140" spans="1:5" ht="20.100000000000001" customHeight="1">
      <c r="A140" s="11"/>
      <c r="B140" s="104">
        <v>301</v>
      </c>
      <c r="C140" s="12" t="str">
        <f>IF(ele[[#This Row],[ر. المادة]]&lt;&gt; "",VLOOKUP(ele[[#This Row],[ر. المادة]],sammary[[رمز المادة]:[اسم المادة]],2,FALSE),"")</f>
        <v>سابوي</v>
      </c>
      <c r="D140" s="24">
        <v>7</v>
      </c>
      <c r="E140" s="74"/>
    </row>
    <row r="141" spans="1:5" ht="20.100000000000001" customHeight="1">
      <c r="A141" s="11"/>
      <c r="B141" s="104">
        <v>301</v>
      </c>
      <c r="C141" s="12" t="str">
        <f>IF(ele[[#This Row],[ر. المادة]]&lt;&gt; "",VLOOKUP(ele[[#This Row],[ر. المادة]],sammary[[رمز المادة]:[اسم المادة]],2,FALSE),"")</f>
        <v>سابوي</v>
      </c>
      <c r="D141" s="24">
        <v>26</v>
      </c>
      <c r="E141" s="74"/>
    </row>
    <row r="142" spans="1:5" ht="20.100000000000001" customHeight="1">
      <c r="A142" s="11"/>
      <c r="B142" s="104">
        <v>301</v>
      </c>
      <c r="C142" s="12" t="str">
        <f>IF(ele[[#This Row],[ر. المادة]]&lt;&gt; "",VLOOKUP(ele[[#This Row],[ر. المادة]],sammary[[رمز المادة]:[اسم المادة]],2,FALSE),"")</f>
        <v>سابوي</v>
      </c>
      <c r="D142" s="24">
        <v>18</v>
      </c>
      <c r="E142" s="74"/>
    </row>
    <row r="143" spans="1:5" ht="20.100000000000001" customHeight="1">
      <c r="A143" s="11"/>
      <c r="B143" s="104">
        <v>301</v>
      </c>
      <c r="C143" s="12" t="str">
        <f>IF(ele[[#This Row],[ر. المادة]]&lt;&gt; "",VLOOKUP(ele[[#This Row],[ر. المادة]],sammary[[رمز المادة]:[اسم المادة]],2,FALSE),"")</f>
        <v>سابوي</v>
      </c>
      <c r="D143" s="24">
        <v>19</v>
      </c>
      <c r="E143" s="74"/>
    </row>
    <row r="144" spans="1:5" ht="20.100000000000001" customHeight="1">
      <c r="A144" s="11"/>
      <c r="B144" s="104">
        <v>301</v>
      </c>
      <c r="C144" s="12" t="str">
        <f>IF(ele[[#This Row],[ر. المادة]]&lt;&gt; "",VLOOKUP(ele[[#This Row],[ر. المادة]],sammary[[رمز المادة]:[اسم المادة]],2,FALSE),"")</f>
        <v>سابوي</v>
      </c>
      <c r="D144" s="24">
        <v>19</v>
      </c>
      <c r="E144" s="74"/>
    </row>
    <row r="145" spans="1:5" ht="20.100000000000001" customHeight="1">
      <c r="A145" s="11"/>
      <c r="B145" s="104">
        <v>301</v>
      </c>
      <c r="C145" s="12" t="str">
        <f>IF(ele[[#This Row],[ر. المادة]]&lt;&gt; "",VLOOKUP(ele[[#This Row],[ر. المادة]],sammary[[رمز المادة]:[اسم المادة]],2,FALSE),"")</f>
        <v>سابوي</v>
      </c>
      <c r="D145" s="24">
        <v>26</v>
      </c>
      <c r="E145" s="74"/>
    </row>
    <row r="146" spans="1:5" ht="20.100000000000001" customHeight="1">
      <c r="A146" s="11"/>
      <c r="B146" s="104">
        <v>301</v>
      </c>
      <c r="C146" s="12" t="str">
        <f>IF(ele[[#This Row],[ر. المادة]]&lt;&gt; "",VLOOKUP(ele[[#This Row],[ر. المادة]],sammary[[رمز المادة]:[اسم المادة]],2,FALSE),"")</f>
        <v>سابوي</v>
      </c>
      <c r="D146" s="24">
        <v>26</v>
      </c>
      <c r="E146" s="74"/>
    </row>
    <row r="147" spans="1:5" ht="20.100000000000001" customHeight="1">
      <c r="A147" s="11"/>
      <c r="B147" s="104">
        <v>301</v>
      </c>
      <c r="C147" s="12" t="str">
        <f>IF(ele[[#This Row],[ر. المادة]]&lt;&gt; "",VLOOKUP(ele[[#This Row],[ر. المادة]],sammary[[رمز المادة]:[اسم المادة]],2,FALSE),"")</f>
        <v>سابوي</v>
      </c>
      <c r="D147" s="24">
        <v>10</v>
      </c>
      <c r="E147" s="74"/>
    </row>
    <row r="148" spans="1:5" ht="20.100000000000001" customHeight="1">
      <c r="A148" s="11"/>
      <c r="B148" s="104">
        <v>302</v>
      </c>
      <c r="C148" s="12" t="str">
        <f>IF(ele[[#This Row],[ر. المادة]]&lt;&gt; "",VLOOKUP(ele[[#This Row],[ر. المادة]],sammary[[رمز المادة]:[اسم المادة]],2,FALSE),"")</f>
        <v>سابوي بوليش</v>
      </c>
      <c r="D148" s="24">
        <v>28</v>
      </c>
      <c r="E148" s="74"/>
    </row>
    <row r="149" spans="1:5" ht="20.100000000000001" customHeight="1">
      <c r="A149" s="11"/>
      <c r="B149" s="104">
        <v>302</v>
      </c>
      <c r="C149" s="12" t="str">
        <f>IF(ele[[#This Row],[ر. المادة]]&lt;&gt; "",VLOOKUP(ele[[#This Row],[ر. المادة]],sammary[[رمز المادة]:[اسم المادة]],2,FALSE),"")</f>
        <v>سابوي بوليش</v>
      </c>
      <c r="D149" s="24">
        <v>11</v>
      </c>
      <c r="E149" s="74"/>
    </row>
    <row r="150" spans="1:5" ht="20.100000000000001" customHeight="1">
      <c r="A150" s="11"/>
      <c r="B150" s="104">
        <v>302</v>
      </c>
      <c r="C150" s="12" t="str">
        <f>IF(ele[[#This Row],[ر. المادة]]&lt;&gt; "",VLOOKUP(ele[[#This Row],[ر. المادة]],sammary[[رمز المادة]:[اسم المادة]],2,FALSE),"")</f>
        <v>سابوي بوليش</v>
      </c>
      <c r="D150" s="24">
        <v>26</v>
      </c>
      <c r="E150" s="74"/>
    </row>
    <row r="151" spans="1:5" ht="20.100000000000001" customHeight="1">
      <c r="A151" s="11"/>
      <c r="B151" s="104">
        <v>302</v>
      </c>
      <c r="C151" s="12" t="str">
        <f>IF(ele[[#This Row],[ر. المادة]]&lt;&gt; "",VLOOKUP(ele[[#This Row],[ر. المادة]],sammary[[رمز المادة]:[اسم المادة]],2,FALSE),"")</f>
        <v>سابوي بوليش</v>
      </c>
      <c r="D151" s="24">
        <v>26</v>
      </c>
      <c r="E151" s="74">
        <v>5</v>
      </c>
    </row>
    <row r="152" spans="1:5" ht="20.100000000000001" customHeight="1">
      <c r="A152" s="11"/>
      <c r="B152" s="104">
        <v>302</v>
      </c>
      <c r="C152" s="12" t="str">
        <f>IF(ele[[#This Row],[ر. المادة]]&lt;&gt; "",VLOOKUP(ele[[#This Row],[ر. المادة]],sammary[[رمز المادة]:[اسم المادة]],2,FALSE),"")</f>
        <v>سابوي بوليش</v>
      </c>
      <c r="D152" s="24">
        <v>30</v>
      </c>
      <c r="E152" s="74"/>
    </row>
    <row r="153" spans="1:5" ht="20.100000000000001" customHeight="1">
      <c r="A153" s="11"/>
      <c r="B153" s="104">
        <v>302</v>
      </c>
      <c r="C153" s="12" t="str">
        <f>IF(ele[[#This Row],[ر. المادة]]&lt;&gt; "",VLOOKUP(ele[[#This Row],[ر. المادة]],sammary[[رمز المادة]:[اسم المادة]],2,FALSE),"")</f>
        <v>سابوي بوليش</v>
      </c>
      <c r="D153" s="24">
        <v>30</v>
      </c>
      <c r="E153" s="74"/>
    </row>
    <row r="154" spans="1:5" ht="20.100000000000001" customHeight="1">
      <c r="A154" s="11"/>
      <c r="B154" s="104">
        <v>302</v>
      </c>
      <c r="C154" s="12" t="str">
        <f>IF(ele[[#This Row],[ر. المادة]]&lt;&gt; "",VLOOKUP(ele[[#This Row],[ر. المادة]],sammary[[رمز المادة]:[اسم المادة]],2,FALSE),"")</f>
        <v>سابوي بوليش</v>
      </c>
      <c r="D154" s="24">
        <v>14</v>
      </c>
      <c r="E154" s="74"/>
    </row>
    <row r="155" spans="1:5" ht="20.100000000000001" customHeight="1">
      <c r="A155" s="11"/>
      <c r="B155" s="104"/>
      <c r="C155" s="12" t="str">
        <f>IF(ele[[#This Row],[ر. المادة]]&lt;&gt; "",VLOOKUP(ele[[#This Row],[ر. المادة]],sammary[[رمز المادة]:[اسم المادة]],2,FALSE),"")</f>
        <v/>
      </c>
      <c r="D155" s="24"/>
      <c r="E155" s="74"/>
    </row>
    <row r="156" spans="1:5" ht="20.100000000000001" customHeight="1">
      <c r="A156" s="11"/>
      <c r="B156" s="104"/>
      <c r="C156" s="12" t="str">
        <f>IF(ele[[#This Row],[ر. المادة]]&lt;&gt; "",VLOOKUP(ele[[#This Row],[ر. المادة]],sammary[[رمز المادة]:[اسم المادة]],2,FALSE),"")</f>
        <v/>
      </c>
      <c r="D156" s="24"/>
      <c r="E156" s="74"/>
    </row>
    <row r="157" spans="1:5" ht="20.100000000000001" customHeight="1">
      <c r="A157" s="11"/>
      <c r="B157" s="104"/>
      <c r="C157" s="12" t="str">
        <f>IF(ele[[#This Row],[ر. المادة]]&lt;&gt; "",VLOOKUP(ele[[#This Row],[ر. المادة]],sammary[[رمز المادة]:[اسم المادة]],2,FALSE),"")</f>
        <v/>
      </c>
      <c r="D157" s="24"/>
      <c r="E157" s="74"/>
    </row>
    <row r="158" spans="1:5" ht="20.100000000000001" customHeight="1">
      <c r="A158" s="11"/>
      <c r="B158" s="104"/>
      <c r="C158" s="12" t="str">
        <f>IF(ele[[#This Row],[ر. المادة]]&lt;&gt; "",VLOOKUP(ele[[#This Row],[ر. المادة]],sammary[[رمز المادة]:[اسم المادة]],2,FALSE),"")</f>
        <v/>
      </c>
      <c r="D158" s="24"/>
      <c r="E158" s="74"/>
    </row>
    <row r="159" spans="1:5" ht="20.100000000000001" customHeight="1">
      <c r="A159" s="11"/>
      <c r="B159" s="104"/>
      <c r="C159" s="12" t="str">
        <f>IF(ele[[#This Row],[ر. المادة]]&lt;&gt; "",VLOOKUP(ele[[#This Row],[ر. المادة]],sammary[[رمز المادة]:[اسم المادة]],2,FALSE),"")</f>
        <v/>
      </c>
      <c r="D159" s="24"/>
      <c r="E159" s="74"/>
    </row>
    <row r="160" spans="1:5" ht="20.100000000000001" customHeight="1">
      <c r="A160" s="11"/>
      <c r="B160" s="104"/>
      <c r="C160" s="12" t="str">
        <f>IF(ele[[#This Row],[ر. المادة]]&lt;&gt; "",VLOOKUP(ele[[#This Row],[ر. المادة]],sammary[[رمز المادة]:[اسم المادة]],2,FALSE),"")</f>
        <v/>
      </c>
      <c r="D160" s="24"/>
      <c r="E160" s="74"/>
    </row>
    <row r="161" spans="1:5" ht="20.100000000000001" customHeight="1">
      <c r="A161" s="11"/>
      <c r="B161" s="104"/>
      <c r="C161" s="12" t="str">
        <f>IF(ele[[#This Row],[ر. المادة]]&lt;&gt; "",VLOOKUP(ele[[#This Row],[ر. المادة]],sammary[[رمز المادة]:[اسم المادة]],2,FALSE),"")</f>
        <v/>
      </c>
      <c r="D161" s="24"/>
      <c r="E161" s="74"/>
    </row>
    <row r="162" spans="1:5" ht="20.100000000000001" customHeight="1">
      <c r="A162" s="11"/>
      <c r="B162" s="104"/>
      <c r="C162" s="12" t="str">
        <f>IF(ele[[#This Row],[ر. المادة]]&lt;&gt; "",VLOOKUP(ele[[#This Row],[ر. المادة]],sammary[[رمز المادة]:[اسم المادة]],2,FALSE),"")</f>
        <v/>
      </c>
      <c r="D162" s="24"/>
      <c r="E162" s="74"/>
    </row>
    <row r="163" spans="1:5" ht="20.100000000000001" customHeight="1">
      <c r="A163" s="11"/>
      <c r="B163" s="104"/>
      <c r="C163" s="12" t="str">
        <f>IF(ele[[#This Row],[ر. المادة]]&lt;&gt; "",VLOOKUP(ele[[#This Row],[ر. المادة]],sammary[[رمز المادة]:[اسم المادة]],2,FALSE),"")</f>
        <v/>
      </c>
      <c r="D163" s="24"/>
      <c r="E163" s="74"/>
    </row>
    <row r="164" spans="1:5" ht="20.100000000000001" customHeight="1">
      <c r="A164" s="11"/>
      <c r="B164" s="104"/>
      <c r="C164" s="12" t="str">
        <f>IF(ele[[#This Row],[ر. المادة]]&lt;&gt; "",VLOOKUP(ele[[#This Row],[ر. المادة]],sammary[[رمز المادة]:[اسم المادة]],2,FALSE),"")</f>
        <v/>
      </c>
      <c r="D164" s="24"/>
      <c r="E164" s="74"/>
    </row>
    <row r="165" spans="1:5" ht="20.100000000000001" customHeight="1">
      <c r="A165" s="11"/>
      <c r="B165" s="104"/>
      <c r="C165" s="12" t="str">
        <f>IF(ele[[#This Row],[ر. المادة]]&lt;&gt; "",VLOOKUP(ele[[#This Row],[ر. المادة]],sammary[[رمز المادة]:[اسم المادة]],2,FALSE),"")</f>
        <v/>
      </c>
      <c r="D165" s="24"/>
      <c r="E165" s="74"/>
    </row>
    <row r="166" spans="1:5" ht="20.100000000000001" customHeight="1">
      <c r="A166" s="11"/>
      <c r="B166" s="104"/>
      <c r="C166" s="12" t="str">
        <f>IF(ele[[#This Row],[ر. المادة]]&lt;&gt; "",VLOOKUP(ele[[#This Row],[ر. المادة]],sammary[[رمز المادة]:[اسم المادة]],2,FALSE),"")</f>
        <v/>
      </c>
      <c r="D166" s="24"/>
      <c r="E166" s="74"/>
    </row>
    <row r="167" spans="1:5" ht="20.100000000000001" customHeight="1">
      <c r="A167" s="11"/>
      <c r="B167" s="104"/>
      <c r="C167" s="12" t="str">
        <f>IF(ele[[#This Row],[ر. المادة]]&lt;&gt; "",VLOOKUP(ele[[#This Row],[ر. المادة]],sammary[[رمز المادة]:[اسم المادة]],2,FALSE),"")</f>
        <v/>
      </c>
      <c r="D167" s="24"/>
      <c r="E167" s="74"/>
    </row>
    <row r="168" spans="1:5" ht="20.100000000000001" customHeight="1">
      <c r="A168" s="11"/>
      <c r="B168" s="104"/>
      <c r="C168" s="12" t="str">
        <f>IF(ele[[#This Row],[ر. المادة]]&lt;&gt; "",VLOOKUP(ele[[#This Row],[ر. المادة]],sammary[[رمز المادة]:[اسم المادة]],2,FALSE),"")</f>
        <v/>
      </c>
      <c r="D168" s="24"/>
      <c r="E168" s="74"/>
    </row>
    <row r="169" spans="1:5" ht="20.100000000000001" customHeight="1">
      <c r="A169" s="11"/>
      <c r="B169" s="104"/>
      <c r="C169" s="12" t="str">
        <f>IF(ele[[#This Row],[ر. المادة]]&lt;&gt; "",VLOOKUP(ele[[#This Row],[ر. المادة]],sammary[[رمز المادة]:[اسم المادة]],2,FALSE),"")</f>
        <v/>
      </c>
      <c r="D169" s="24"/>
      <c r="E169" s="74"/>
    </row>
    <row r="170" spans="1:5" ht="20.100000000000001" customHeight="1">
      <c r="A170" s="11"/>
      <c r="B170" s="104"/>
      <c r="C170" s="12" t="str">
        <f>IF(ele[[#This Row],[ر. المادة]]&lt;&gt; "",VLOOKUP(ele[[#This Row],[ر. المادة]],sammary[[رمز المادة]:[اسم المادة]],2,FALSE),"")</f>
        <v/>
      </c>
      <c r="D170" s="24"/>
      <c r="E170" s="74"/>
    </row>
    <row r="171" spans="1:5" ht="20.100000000000001" customHeight="1">
      <c r="A171" s="11"/>
      <c r="B171" s="104"/>
      <c r="C171" s="12" t="str">
        <f>IF(ele[[#This Row],[ر. المادة]]&lt;&gt; "",VLOOKUP(ele[[#This Row],[ر. المادة]],sammary[[رمز المادة]:[اسم المادة]],2,FALSE),"")</f>
        <v/>
      </c>
      <c r="D171" s="24"/>
      <c r="E171" s="74"/>
    </row>
    <row r="172" spans="1:5" ht="20.100000000000001" customHeight="1">
      <c r="A172" s="11"/>
      <c r="B172" s="104"/>
      <c r="C172" s="12" t="str">
        <f>IF(ele[[#This Row],[ر. المادة]]&lt;&gt; "",VLOOKUP(ele[[#This Row],[ر. المادة]],sammary[[رمز المادة]:[اسم المادة]],2,FALSE),"")</f>
        <v/>
      </c>
      <c r="D172" s="24"/>
      <c r="E172" s="74"/>
    </row>
    <row r="173" spans="1:5" ht="20.100000000000001" customHeight="1">
      <c r="A173" s="11"/>
      <c r="B173" s="104"/>
      <c r="C173" s="12" t="str">
        <f>IF(ele[[#This Row],[ر. المادة]]&lt;&gt; "",VLOOKUP(ele[[#This Row],[ر. المادة]],sammary[[رمز المادة]:[اسم المادة]],2,FALSE),"")</f>
        <v/>
      </c>
      <c r="D173" s="24"/>
      <c r="E173" s="74"/>
    </row>
    <row r="174" spans="1:5" ht="20.100000000000001" customHeight="1">
      <c r="A174" s="11"/>
      <c r="B174" s="104"/>
      <c r="C174" s="12" t="str">
        <f>IF(ele[[#This Row],[ر. المادة]]&lt;&gt; "",VLOOKUP(ele[[#This Row],[ر. المادة]],sammary[[رمز المادة]:[اسم المادة]],2,FALSE),"")</f>
        <v/>
      </c>
      <c r="D174" s="24"/>
      <c r="E174" s="74"/>
    </row>
    <row r="175" spans="1:5" ht="20.100000000000001" customHeight="1">
      <c r="A175" s="11"/>
      <c r="B175" s="104"/>
      <c r="C175" s="12" t="str">
        <f>IF(ele[[#This Row],[ر. المادة]]&lt;&gt; "",VLOOKUP(ele[[#This Row],[ر. المادة]],sammary[[رمز المادة]:[اسم المادة]],2,FALSE),"")</f>
        <v/>
      </c>
      <c r="D175" s="24"/>
      <c r="E175" s="74"/>
    </row>
    <row r="176" spans="1:5" ht="20.100000000000001" customHeight="1">
      <c r="A176" s="11"/>
      <c r="B176" s="104"/>
      <c r="C176" s="12" t="str">
        <f>IF(ele[[#This Row],[ر. المادة]]&lt;&gt; "",VLOOKUP(ele[[#This Row],[ر. المادة]],sammary[[رمز المادة]:[اسم المادة]],2,FALSE),"")</f>
        <v/>
      </c>
      <c r="D176" s="24"/>
      <c r="E176" s="74"/>
    </row>
    <row r="177" spans="1:5" ht="20.100000000000001" customHeight="1">
      <c r="A177" s="11"/>
      <c r="B177" s="104"/>
      <c r="C177" s="12" t="str">
        <f>IF(ele[[#This Row],[ر. المادة]]&lt;&gt; "",VLOOKUP(ele[[#This Row],[ر. المادة]],sammary[[رمز المادة]:[اسم المادة]],2,FALSE),"")</f>
        <v/>
      </c>
      <c r="D177" s="24"/>
      <c r="E177" s="74"/>
    </row>
    <row r="178" spans="1:5" ht="20.100000000000001" customHeight="1">
      <c r="A178" s="11"/>
      <c r="B178" s="104"/>
      <c r="C178" s="12" t="str">
        <f>IF(ele[[#This Row],[ر. المادة]]&lt;&gt; "",VLOOKUP(ele[[#This Row],[ر. المادة]],sammary[[رمز المادة]:[اسم المادة]],2,FALSE),"")</f>
        <v/>
      </c>
      <c r="D178" s="24"/>
      <c r="E178" s="74"/>
    </row>
    <row r="179" spans="1:5" ht="20.100000000000001" customHeight="1">
      <c r="A179" s="11"/>
      <c r="B179" s="104"/>
      <c r="C179" s="12" t="str">
        <f>IF(ele[[#This Row],[ر. المادة]]&lt;&gt; "",VLOOKUP(ele[[#This Row],[ر. المادة]],sammary[[رمز المادة]:[اسم المادة]],2,FALSE),"")</f>
        <v/>
      </c>
      <c r="D179" s="24"/>
      <c r="E179" s="74"/>
    </row>
    <row r="180" spans="1:5" ht="20.100000000000001" customHeight="1">
      <c r="A180" s="11"/>
      <c r="B180" s="104"/>
      <c r="C180" s="12" t="str">
        <f>IF(ele[[#This Row],[ر. المادة]]&lt;&gt; "",VLOOKUP(ele[[#This Row],[ر. المادة]],sammary[[رمز المادة]:[اسم المادة]],2,FALSE),"")</f>
        <v/>
      </c>
      <c r="D180" s="24"/>
      <c r="E180" s="74"/>
    </row>
    <row r="181" spans="1:5" ht="20.100000000000001" customHeight="1">
      <c r="A181" s="11"/>
      <c r="B181" s="104"/>
      <c r="C181" s="12" t="str">
        <f>IF(ele[[#This Row],[ر. المادة]]&lt;&gt; "",VLOOKUP(ele[[#This Row],[ر. المادة]],sammary[[رمز المادة]:[اسم المادة]],2,FALSE),"")</f>
        <v/>
      </c>
      <c r="D181" s="24"/>
      <c r="E181" s="74"/>
    </row>
    <row r="182" spans="1:5" ht="20.100000000000001" customHeight="1">
      <c r="A182" s="11"/>
      <c r="B182" s="104"/>
      <c r="C182" s="12" t="str">
        <f>IF(ele[[#This Row],[ر. المادة]]&lt;&gt; "",VLOOKUP(ele[[#This Row],[ر. المادة]],sammary[[رمز المادة]:[اسم المادة]],2,FALSE),"")</f>
        <v/>
      </c>
      <c r="D182" s="24"/>
      <c r="E182" s="74"/>
    </row>
    <row r="183" spans="1:5" ht="20.100000000000001" customHeight="1">
      <c r="A183" s="11"/>
      <c r="B183" s="104"/>
      <c r="C183" s="12" t="str">
        <f>IF(ele[[#This Row],[ر. المادة]]&lt;&gt; "",VLOOKUP(ele[[#This Row],[ر. المادة]],sammary[[رمز المادة]:[اسم المادة]],2,FALSE),"")</f>
        <v/>
      </c>
      <c r="D183" s="24"/>
      <c r="E183" s="74"/>
    </row>
    <row r="184" spans="1:5" ht="20.100000000000001" customHeight="1">
      <c r="A184" s="11"/>
      <c r="B184" s="104"/>
      <c r="C184" s="12" t="str">
        <f>IF(ele[[#This Row],[ر. المادة]]&lt;&gt; "",VLOOKUP(ele[[#This Row],[ر. المادة]],sammary[[رمز المادة]:[اسم المادة]],2,FALSE),"")</f>
        <v/>
      </c>
      <c r="D184" s="24"/>
      <c r="E184" s="74"/>
    </row>
    <row r="185" spans="1:5" ht="20.100000000000001" customHeight="1">
      <c r="A185" s="11"/>
      <c r="B185" s="104"/>
      <c r="C185" s="12" t="str">
        <f>IF(ele[[#This Row],[ر. المادة]]&lt;&gt; "",VLOOKUP(ele[[#This Row],[ر. المادة]],sammary[[رمز المادة]:[اسم المادة]],2,FALSE),"")</f>
        <v/>
      </c>
      <c r="D185" s="24"/>
      <c r="E185" s="74"/>
    </row>
    <row r="186" spans="1:5" ht="20.100000000000001" customHeight="1">
      <c r="A186" s="11"/>
      <c r="B186" s="104"/>
      <c r="C186" s="12" t="str">
        <f>IF(ele[[#This Row],[ر. المادة]]&lt;&gt; "",VLOOKUP(ele[[#This Row],[ر. المادة]],sammary[[رمز المادة]:[اسم المادة]],2,FALSE),"")</f>
        <v/>
      </c>
      <c r="D186" s="24"/>
      <c r="E186" s="74"/>
    </row>
    <row r="187" spans="1:5" ht="20.100000000000001" customHeight="1">
      <c r="A187" s="11"/>
      <c r="B187" s="104"/>
      <c r="C187" s="12" t="str">
        <f>IF(ele[[#This Row],[ر. المادة]]&lt;&gt; "",VLOOKUP(ele[[#This Row],[ر. المادة]],sammary[[رمز المادة]:[اسم المادة]],2,FALSE),"")</f>
        <v/>
      </c>
      <c r="D187" s="24"/>
      <c r="E187" s="74"/>
    </row>
    <row r="188" spans="1:5" ht="20.100000000000001" customHeight="1">
      <c r="A188" s="11"/>
      <c r="B188" s="104"/>
      <c r="C188" s="12" t="str">
        <f>IF(ele[[#This Row],[ر. المادة]]&lt;&gt; "",VLOOKUP(ele[[#This Row],[ر. المادة]],sammary[[رمز المادة]:[اسم المادة]],2,FALSE),"")</f>
        <v/>
      </c>
      <c r="D188" s="24"/>
      <c r="E188" s="74"/>
    </row>
    <row r="189" spans="1:5" ht="20.100000000000001" customHeight="1">
      <c r="A189" s="11"/>
      <c r="B189" s="104"/>
      <c r="C189" s="12" t="str">
        <f>IF(ele[[#This Row],[ر. المادة]]&lt;&gt; "",VLOOKUP(ele[[#This Row],[ر. المادة]],sammary[[رمز المادة]:[اسم المادة]],2,FALSE),"")</f>
        <v/>
      </c>
      <c r="D189" s="24"/>
      <c r="E189" s="74"/>
    </row>
    <row r="190" spans="1:5" ht="20.100000000000001" customHeight="1">
      <c r="A190" s="11"/>
      <c r="B190" s="104"/>
      <c r="C190" s="12" t="str">
        <f>IF(ele[[#This Row],[ر. المادة]]&lt;&gt; "",VLOOKUP(ele[[#This Row],[ر. المادة]],sammary[[رمز المادة]:[اسم المادة]],2,FALSE),"")</f>
        <v/>
      </c>
      <c r="D190" s="24"/>
      <c r="E190" s="74"/>
    </row>
    <row r="191" spans="1:5" ht="20.100000000000001" customHeight="1">
      <c r="A191" s="11"/>
      <c r="B191" s="104"/>
      <c r="C191" s="12" t="str">
        <f>IF(ele[[#This Row],[ر. المادة]]&lt;&gt; "",VLOOKUP(ele[[#This Row],[ر. المادة]],sammary[[رمز المادة]:[اسم المادة]],2,FALSE),"")</f>
        <v/>
      </c>
      <c r="D191" s="24"/>
      <c r="E191" s="74"/>
    </row>
    <row r="192" spans="1:5" ht="20.100000000000001" customHeight="1">
      <c r="A192" s="11"/>
      <c r="B192" s="104"/>
      <c r="C192" s="12" t="str">
        <f>IF(ele[[#This Row],[ر. المادة]]&lt;&gt; "",VLOOKUP(ele[[#This Row],[ر. المادة]],sammary[[رمز المادة]:[اسم المادة]],2,FALSE),"")</f>
        <v/>
      </c>
      <c r="D192" s="24"/>
      <c r="E192" s="74"/>
    </row>
    <row r="193" spans="1:5" ht="20.100000000000001" customHeight="1">
      <c r="A193" s="11"/>
      <c r="B193" s="104"/>
      <c r="C193" s="12" t="str">
        <f>IF(ele[[#This Row],[ر. المادة]]&lt;&gt; "",VLOOKUP(ele[[#This Row],[ر. المادة]],sammary[[رمز المادة]:[اسم المادة]],2,FALSE),"")</f>
        <v/>
      </c>
      <c r="D193" s="24"/>
      <c r="E193" s="74"/>
    </row>
    <row r="194" spans="1:5" ht="20.100000000000001" customHeight="1">
      <c r="A194" s="11"/>
      <c r="B194" s="104"/>
      <c r="C194" s="12" t="str">
        <f>IF(ele[[#This Row],[ر. المادة]]&lt;&gt; "",VLOOKUP(ele[[#This Row],[ر. المادة]],sammary[[رمز المادة]:[اسم المادة]],2,FALSE),"")</f>
        <v/>
      </c>
      <c r="D194" s="24"/>
      <c r="E194" s="74"/>
    </row>
    <row r="195" spans="1:5" ht="20.100000000000001" customHeight="1">
      <c r="A195" s="11"/>
      <c r="B195" s="104"/>
      <c r="C195" s="12" t="str">
        <f>IF(ele[[#This Row],[ر. المادة]]&lt;&gt; "",VLOOKUP(ele[[#This Row],[ر. المادة]],sammary[[رمز المادة]:[اسم المادة]],2,FALSE),"")</f>
        <v/>
      </c>
      <c r="D195" s="24"/>
      <c r="E195" s="74"/>
    </row>
    <row r="196" spans="1:5" ht="20.100000000000001" customHeight="1">
      <c r="A196" s="11"/>
      <c r="B196" s="104"/>
      <c r="C196" s="12" t="str">
        <f>IF(ele[[#This Row],[ر. المادة]]&lt;&gt; "",VLOOKUP(ele[[#This Row],[ر. المادة]],sammary[[رمز المادة]:[اسم المادة]],2,FALSE),"")</f>
        <v/>
      </c>
      <c r="D196" s="24"/>
      <c r="E196" s="74"/>
    </row>
    <row r="197" spans="1:5" ht="20.100000000000001" customHeight="1">
      <c r="A197" s="11"/>
      <c r="B197" s="104"/>
      <c r="C197" s="12" t="str">
        <f>IF(ele[[#This Row],[ر. المادة]]&lt;&gt; "",VLOOKUP(ele[[#This Row],[ر. المادة]],sammary[[رمز المادة]:[اسم المادة]],2,FALSE),"")</f>
        <v/>
      </c>
      <c r="D197" s="24"/>
      <c r="E197" s="74"/>
    </row>
    <row r="198" spans="1:5" ht="20.100000000000001" customHeight="1">
      <c r="A198" s="11"/>
      <c r="B198" s="104"/>
      <c r="C198" s="12" t="str">
        <f>IF(ele[[#This Row],[ر. المادة]]&lt;&gt; "",VLOOKUP(ele[[#This Row],[ر. المادة]],sammary[[رمز المادة]:[اسم المادة]],2,FALSE),"")</f>
        <v/>
      </c>
      <c r="D198" s="24"/>
      <c r="E198" s="74"/>
    </row>
    <row r="199" spans="1:5" ht="20.100000000000001" customHeight="1">
      <c r="A199" s="11"/>
      <c r="B199" s="104"/>
      <c r="C199" s="12" t="str">
        <f>IF(ele[[#This Row],[ر. المادة]]&lt;&gt; "",VLOOKUP(ele[[#This Row],[ر. المادة]],sammary[[رمز المادة]:[اسم المادة]],2,FALSE),"")</f>
        <v/>
      </c>
      <c r="D199" s="24"/>
      <c r="E199" s="74"/>
    </row>
    <row r="200" spans="1:5" ht="20.100000000000001" customHeight="1">
      <c r="A200" s="11"/>
      <c r="B200" s="104"/>
      <c r="C200" s="12" t="str">
        <f>IF(ele[[#This Row],[ر. المادة]]&lt;&gt; "",VLOOKUP(ele[[#This Row],[ر. المادة]],sammary[[رمز المادة]:[اسم المادة]],2,FALSE),"")</f>
        <v/>
      </c>
      <c r="D200" s="24"/>
      <c r="E200" s="74"/>
    </row>
    <row r="201" spans="1:5" ht="20.100000000000001" customHeight="1">
      <c r="A201" s="11"/>
      <c r="B201" s="104"/>
      <c r="C201" s="12" t="str">
        <f>IF(ele[[#This Row],[ر. المادة]]&lt;&gt; "",VLOOKUP(ele[[#This Row],[ر. المادة]],sammary[[رمز المادة]:[اسم المادة]],2,FALSE),"")</f>
        <v/>
      </c>
      <c r="D201" s="24"/>
      <c r="E201" s="74"/>
    </row>
    <row r="202" spans="1:5" ht="20.100000000000001" customHeight="1">
      <c r="A202" s="11"/>
      <c r="B202" s="104"/>
      <c r="C202" s="12" t="str">
        <f>IF(ele[[#This Row],[ر. المادة]]&lt;&gt; "",VLOOKUP(ele[[#This Row],[ر. المادة]],sammary[[رمز المادة]:[اسم المادة]],2,FALSE),"")</f>
        <v/>
      </c>
      <c r="D202" s="24"/>
      <c r="E202" s="74"/>
    </row>
    <row r="203" spans="1:5" ht="20.100000000000001" customHeight="1">
      <c r="A203" s="11"/>
      <c r="B203" s="104"/>
      <c r="C203" s="12" t="str">
        <f>IF(ele[[#This Row],[ر. المادة]]&lt;&gt; "",VLOOKUP(ele[[#This Row],[ر. المادة]],sammary[[رمز المادة]:[اسم المادة]],2,FALSE),"")</f>
        <v/>
      </c>
      <c r="D203" s="24"/>
      <c r="E203" s="74"/>
    </row>
    <row r="204" spans="1:5" ht="20.100000000000001" customHeight="1">
      <c r="A204" s="11"/>
      <c r="B204" s="104"/>
      <c r="C204" s="12" t="str">
        <f>IF(ele[[#This Row],[ر. المادة]]&lt;&gt; "",VLOOKUP(ele[[#This Row],[ر. المادة]],sammary[[رمز المادة]:[اسم المادة]],2,FALSE),"")</f>
        <v/>
      </c>
      <c r="D204" s="24"/>
      <c r="E204" s="74"/>
    </row>
    <row r="205" spans="1:5" ht="20.100000000000001" customHeight="1">
      <c r="A205" s="11"/>
      <c r="B205" s="104"/>
      <c r="C205" s="12" t="str">
        <f>IF(ele[[#This Row],[ر. المادة]]&lt;&gt; "",VLOOKUP(ele[[#This Row],[ر. المادة]],sammary[[رمز المادة]:[اسم المادة]],2,FALSE),"")</f>
        <v/>
      </c>
      <c r="D205" s="24"/>
      <c r="E205" s="74"/>
    </row>
    <row r="206" spans="1:5" ht="20.100000000000001" customHeight="1">
      <c r="A206" s="11"/>
      <c r="B206" s="104"/>
      <c r="C206" s="12" t="str">
        <f>IF(ele[[#This Row],[ر. المادة]]&lt;&gt; "",VLOOKUP(ele[[#This Row],[ر. المادة]],sammary[[رمز المادة]:[اسم المادة]],2,FALSE),"")</f>
        <v/>
      </c>
      <c r="D206" s="24"/>
      <c r="E206" s="74"/>
    </row>
    <row r="207" spans="1:5" ht="20.100000000000001" customHeight="1">
      <c r="A207" s="11"/>
      <c r="B207" s="104"/>
      <c r="C207" s="12" t="str">
        <f>IF(ele[[#This Row],[ر. المادة]]&lt;&gt; "",VLOOKUP(ele[[#This Row],[ر. المادة]],sammary[[رمز المادة]:[اسم المادة]],2,FALSE),"")</f>
        <v/>
      </c>
      <c r="D207" s="24"/>
      <c r="E207" s="74"/>
    </row>
    <row r="208" spans="1:5" ht="20.100000000000001" customHeight="1">
      <c r="A208" s="11"/>
      <c r="B208" s="104"/>
      <c r="C208" s="12" t="str">
        <f>IF(ele[[#This Row],[ر. المادة]]&lt;&gt; "",VLOOKUP(ele[[#This Row],[ر. المادة]],sammary[[رمز المادة]:[اسم المادة]],2,FALSE),"")</f>
        <v/>
      </c>
      <c r="D208" s="24"/>
      <c r="E208" s="74"/>
    </row>
    <row r="209" spans="1:5" ht="20.100000000000001" customHeight="1">
      <c r="A209" s="11"/>
      <c r="B209" s="104"/>
      <c r="C209" s="12" t="str">
        <f>IF(ele[[#This Row],[ر. المادة]]&lt;&gt; "",VLOOKUP(ele[[#This Row],[ر. المادة]],sammary[[رمز المادة]:[اسم المادة]],2,FALSE),"")</f>
        <v/>
      </c>
      <c r="D209" s="24"/>
      <c r="E209" s="74"/>
    </row>
    <row r="210" spans="1:5" ht="20.100000000000001" customHeight="1">
      <c r="A210" s="11"/>
      <c r="B210" s="104"/>
      <c r="C210" s="12" t="str">
        <f>IF(ele[[#This Row],[ر. المادة]]&lt;&gt; "",VLOOKUP(ele[[#This Row],[ر. المادة]],sammary[[رمز المادة]:[اسم المادة]],2,FALSE),"")</f>
        <v/>
      </c>
      <c r="D210" s="24"/>
      <c r="E210" s="74"/>
    </row>
    <row r="211" spans="1:5" ht="20.100000000000001" customHeight="1">
      <c r="A211" s="11"/>
      <c r="B211" s="104"/>
      <c r="C211" s="12" t="str">
        <f>IF(ele[[#This Row],[ر. المادة]]&lt;&gt; "",VLOOKUP(ele[[#This Row],[ر. المادة]],sammary[[رمز المادة]:[اسم المادة]],2,FALSE),"")</f>
        <v/>
      </c>
      <c r="D211" s="24"/>
      <c r="E211" s="74"/>
    </row>
    <row r="212" spans="1:5" ht="20.100000000000001" customHeight="1">
      <c r="A212" s="11"/>
      <c r="B212" s="104"/>
      <c r="C212" s="12" t="str">
        <f>IF(ele[[#This Row],[ر. المادة]]&lt;&gt; "",VLOOKUP(ele[[#This Row],[ر. المادة]],sammary[[رمز المادة]:[اسم المادة]],2,FALSE),"")</f>
        <v/>
      </c>
      <c r="D212" s="24"/>
      <c r="E212" s="74"/>
    </row>
    <row r="213" spans="1:5" ht="20.100000000000001" customHeight="1">
      <c r="A213" s="11"/>
      <c r="B213" s="104"/>
      <c r="C213" s="12" t="str">
        <f>IF(ele[[#This Row],[ر. المادة]]&lt;&gt; "",VLOOKUP(ele[[#This Row],[ر. المادة]],sammary[[رمز المادة]:[اسم المادة]],2,FALSE),"")</f>
        <v/>
      </c>
      <c r="D213" s="24"/>
      <c r="E213" s="74"/>
    </row>
    <row r="214" spans="1:5" ht="20.100000000000001" customHeight="1">
      <c r="A214" s="11"/>
      <c r="B214" s="104"/>
      <c r="C214" s="12" t="str">
        <f>IF(ele[[#This Row],[ر. المادة]]&lt;&gt; "",VLOOKUP(ele[[#This Row],[ر. المادة]],sammary[[رمز المادة]:[اسم المادة]],2,FALSE),"")</f>
        <v/>
      </c>
      <c r="D214" s="24"/>
      <c r="E214" s="74"/>
    </row>
    <row r="215" spans="1:5" ht="20.100000000000001" customHeight="1">
      <c r="A215" s="11"/>
      <c r="B215" s="104"/>
      <c r="C215" s="12" t="str">
        <f>IF(ele[[#This Row],[ر. المادة]]&lt;&gt; "",VLOOKUP(ele[[#This Row],[ر. المادة]],sammary[[رمز المادة]:[اسم المادة]],2,FALSE),"")</f>
        <v/>
      </c>
      <c r="D215" s="24"/>
      <c r="E215" s="74"/>
    </row>
    <row r="216" spans="1:5" ht="20.100000000000001" customHeight="1">
      <c r="A216" s="11"/>
      <c r="B216" s="104"/>
      <c r="C216" s="12" t="str">
        <f>IF(ele[[#This Row],[ر. المادة]]&lt;&gt; "",VLOOKUP(ele[[#This Row],[ر. المادة]],sammary[[رمز المادة]:[اسم المادة]],2,FALSE),"")</f>
        <v/>
      </c>
      <c r="D216" s="24"/>
      <c r="E216" s="74"/>
    </row>
    <row r="217" spans="1:5" ht="20.100000000000001" customHeight="1">
      <c r="A217" s="11"/>
      <c r="B217" s="104"/>
      <c r="C217" s="12" t="str">
        <f>IF(ele[[#This Row],[ر. المادة]]&lt;&gt; "",VLOOKUP(ele[[#This Row],[ر. المادة]],sammary[[رمز المادة]:[اسم المادة]],2,FALSE),"")</f>
        <v/>
      </c>
      <c r="D217" s="24"/>
      <c r="E217" s="74"/>
    </row>
    <row r="218" spans="1:5" ht="20.100000000000001" customHeight="1">
      <c r="A218" s="11"/>
      <c r="B218" s="104"/>
      <c r="C218" s="12" t="str">
        <f>IF(ele[[#This Row],[ر. المادة]]&lt;&gt; "",VLOOKUP(ele[[#This Row],[ر. المادة]],sammary[[رمز المادة]:[اسم المادة]],2,FALSE),"")</f>
        <v/>
      </c>
      <c r="D218" s="24"/>
      <c r="E218" s="74"/>
    </row>
    <row r="219" spans="1:5" ht="20.100000000000001" customHeight="1">
      <c r="A219" s="11"/>
      <c r="B219" s="104"/>
      <c r="C219" s="12" t="str">
        <f>IF(ele[[#This Row],[ر. المادة]]&lt;&gt; "",VLOOKUP(ele[[#This Row],[ر. المادة]],sammary[[رمز المادة]:[اسم المادة]],2,FALSE),"")</f>
        <v/>
      </c>
      <c r="D219" s="24"/>
      <c r="E219" s="74"/>
    </row>
    <row r="220" spans="1:5" ht="20.100000000000001" customHeight="1">
      <c r="A220" s="11"/>
      <c r="B220" s="104"/>
      <c r="C220" s="12" t="str">
        <f>IF(ele[[#This Row],[ر. المادة]]&lt;&gt; "",VLOOKUP(ele[[#This Row],[ر. المادة]],sammary[[رمز المادة]:[اسم المادة]],2,FALSE),"")</f>
        <v/>
      </c>
      <c r="D220" s="24"/>
      <c r="E220" s="74"/>
    </row>
    <row r="221" spans="1:5" ht="20.100000000000001" customHeight="1">
      <c r="A221" s="11"/>
      <c r="B221" s="104"/>
      <c r="C221" s="12" t="str">
        <f>IF(ele[[#This Row],[ر. المادة]]&lt;&gt; "",VLOOKUP(ele[[#This Row],[ر. المادة]],sammary[[رمز المادة]:[اسم المادة]],2,FALSE),"")</f>
        <v/>
      </c>
      <c r="D221" s="24"/>
      <c r="E221" s="74"/>
    </row>
    <row r="222" spans="1:5" ht="20.100000000000001" customHeight="1">
      <c r="A222" s="11"/>
      <c r="B222" s="104"/>
      <c r="C222" s="12" t="str">
        <f>IF(ele[[#This Row],[ر. المادة]]&lt;&gt; "",VLOOKUP(ele[[#This Row],[ر. المادة]],sammary[[رمز المادة]:[اسم المادة]],2,FALSE),"")</f>
        <v/>
      </c>
      <c r="D222" s="24"/>
      <c r="E222" s="74"/>
    </row>
    <row r="223" spans="1:5" ht="20.100000000000001" customHeight="1">
      <c r="A223" s="11"/>
      <c r="B223" s="104"/>
      <c r="C223" s="12" t="str">
        <f>IF(ele[[#This Row],[ر. المادة]]&lt;&gt; "",VLOOKUP(ele[[#This Row],[ر. المادة]],sammary[[رمز المادة]:[اسم المادة]],2,FALSE),"")</f>
        <v/>
      </c>
      <c r="D223" s="24"/>
      <c r="E223" s="74"/>
    </row>
    <row r="224" spans="1:5" ht="20.100000000000001" customHeight="1">
      <c r="A224" s="11"/>
      <c r="B224" s="104"/>
      <c r="C224" s="12" t="str">
        <f>IF(ele[[#This Row],[ر. المادة]]&lt;&gt; "",VLOOKUP(ele[[#This Row],[ر. المادة]],sammary[[رمز المادة]:[اسم المادة]],2,FALSE),"")</f>
        <v/>
      </c>
      <c r="D224" s="24"/>
      <c r="E224" s="74"/>
    </row>
    <row r="225" spans="1:5" ht="20.100000000000001" customHeight="1">
      <c r="A225" s="11"/>
      <c r="B225" s="104"/>
      <c r="C225" s="12" t="str">
        <f>IF(ele[[#This Row],[ر. المادة]]&lt;&gt; "",VLOOKUP(ele[[#This Row],[ر. المادة]],sammary[[رمز المادة]:[اسم المادة]],2,FALSE),"")</f>
        <v/>
      </c>
      <c r="D225" s="24"/>
      <c r="E225" s="74"/>
    </row>
    <row r="226" spans="1:5" ht="20.100000000000001" customHeight="1">
      <c r="A226" s="11"/>
      <c r="B226" s="104"/>
      <c r="C226" s="12" t="str">
        <f>IF(ele[[#This Row],[ر. المادة]]&lt;&gt; "",VLOOKUP(ele[[#This Row],[ر. المادة]],sammary[[رمز المادة]:[اسم المادة]],2,FALSE),"")</f>
        <v/>
      </c>
      <c r="D226" s="24"/>
      <c r="E226" s="74"/>
    </row>
    <row r="227" spans="1:5" ht="20.100000000000001" customHeight="1">
      <c r="A227" s="11"/>
      <c r="B227" s="104"/>
      <c r="C227" s="12" t="str">
        <f>IF(ele[[#This Row],[ر. المادة]]&lt;&gt; "",VLOOKUP(ele[[#This Row],[ر. المادة]],sammary[[رمز المادة]:[اسم المادة]],2,FALSE),"")</f>
        <v/>
      </c>
      <c r="D227" s="24"/>
      <c r="E227" s="74"/>
    </row>
    <row r="228" spans="1:5" ht="20.100000000000001" customHeight="1">
      <c r="A228" s="11"/>
      <c r="B228" s="104"/>
      <c r="C228" s="12" t="str">
        <f>IF(ele[[#This Row],[ر. المادة]]&lt;&gt; "",VLOOKUP(ele[[#This Row],[ر. المادة]],sammary[[رمز المادة]:[اسم المادة]],2,FALSE),"")</f>
        <v/>
      </c>
      <c r="D228" s="24"/>
      <c r="E228" s="74"/>
    </row>
    <row r="229" spans="1:5" ht="20.100000000000001" customHeight="1">
      <c r="A229" s="11"/>
      <c r="B229" s="104"/>
      <c r="C229" s="12" t="str">
        <f>IF(ele[[#This Row],[ر. المادة]]&lt;&gt; "",VLOOKUP(ele[[#This Row],[ر. المادة]],sammary[[رمز المادة]:[اسم المادة]],2,FALSE),"")</f>
        <v/>
      </c>
      <c r="D229" s="24"/>
      <c r="E229" s="74"/>
    </row>
    <row r="230" spans="1:5" ht="20.100000000000001" customHeight="1">
      <c r="A230" s="11"/>
      <c r="B230" s="104"/>
      <c r="C230" s="12" t="str">
        <f>IF(ele[[#This Row],[ر. المادة]]&lt;&gt; "",VLOOKUP(ele[[#This Row],[ر. المادة]],sammary[[رمز المادة]:[اسم المادة]],2,FALSE),"")</f>
        <v/>
      </c>
      <c r="D230" s="24"/>
      <c r="E230" s="74"/>
    </row>
    <row r="231" spans="1:5" ht="20.100000000000001" customHeight="1">
      <c r="A231" s="11"/>
      <c r="B231" s="104"/>
      <c r="C231" s="12" t="str">
        <f>IF(ele[[#This Row],[ر. المادة]]&lt;&gt; "",VLOOKUP(ele[[#This Row],[ر. المادة]],sammary[[رمز المادة]:[اسم المادة]],2,FALSE),"")</f>
        <v/>
      </c>
      <c r="D231" s="24"/>
      <c r="E231" s="74"/>
    </row>
    <row r="232" spans="1:5" ht="20.100000000000001" customHeight="1">
      <c r="A232" s="11"/>
      <c r="B232" s="104"/>
      <c r="C232" s="12" t="str">
        <f>IF(ele[[#This Row],[ر. المادة]]&lt;&gt; "",VLOOKUP(ele[[#This Row],[ر. المادة]],sammary[[رمز المادة]:[اسم المادة]],2,FALSE),"")</f>
        <v/>
      </c>
      <c r="D232" s="24"/>
      <c r="E232" s="74"/>
    </row>
    <row r="233" spans="1:5" ht="20.100000000000001" customHeight="1">
      <c r="A233" s="11"/>
      <c r="B233" s="104"/>
      <c r="C233" s="12" t="str">
        <f>IF(ele[[#This Row],[ر. المادة]]&lt;&gt; "",VLOOKUP(ele[[#This Row],[ر. المادة]],sammary[[رمز المادة]:[اسم المادة]],2,FALSE),"")</f>
        <v/>
      </c>
      <c r="D233" s="24"/>
      <c r="E233" s="74"/>
    </row>
    <row r="234" spans="1:5" ht="20.100000000000001" customHeight="1">
      <c r="A234" s="11"/>
      <c r="B234" s="104"/>
      <c r="C234" s="12" t="str">
        <f>IF(ele[[#This Row],[ر. المادة]]&lt;&gt; "",VLOOKUP(ele[[#This Row],[ر. المادة]],sammary[[رمز المادة]:[اسم المادة]],2,FALSE),"")</f>
        <v/>
      </c>
      <c r="D234" s="24"/>
      <c r="E234" s="74"/>
    </row>
    <row r="235" spans="1:5" ht="20.100000000000001" customHeight="1">
      <c r="A235" s="11"/>
      <c r="B235" s="104"/>
      <c r="C235" s="12" t="str">
        <f>IF(ele[[#This Row],[ر. المادة]]&lt;&gt; "",VLOOKUP(ele[[#This Row],[ر. المادة]],sammary[[رمز المادة]:[اسم المادة]],2,FALSE),"")</f>
        <v/>
      </c>
      <c r="D235" s="24"/>
      <c r="E235" s="74"/>
    </row>
    <row r="236" spans="1:5" ht="20.100000000000001" customHeight="1">
      <c r="A236" s="11"/>
      <c r="B236" s="104"/>
      <c r="C236" s="12" t="str">
        <f>IF(ele[[#This Row],[ر. المادة]]&lt;&gt; "",VLOOKUP(ele[[#This Row],[ر. المادة]],sammary[[رمز المادة]:[اسم المادة]],2,FALSE),"")</f>
        <v/>
      </c>
      <c r="D236" s="24"/>
      <c r="E236" s="74"/>
    </row>
    <row r="237" spans="1:5" ht="20.100000000000001" customHeight="1">
      <c r="A237" s="11"/>
      <c r="B237" s="104"/>
      <c r="C237" s="12" t="str">
        <f>IF(ele[[#This Row],[ر. المادة]]&lt;&gt; "",VLOOKUP(ele[[#This Row],[ر. المادة]],sammary[[رمز المادة]:[اسم المادة]],2,FALSE),"")</f>
        <v/>
      </c>
      <c r="D237" s="24"/>
      <c r="E237" s="74"/>
    </row>
    <row r="238" spans="1:5" ht="20.100000000000001" customHeight="1">
      <c r="A238" s="11"/>
      <c r="B238" s="104"/>
      <c r="C238" s="12" t="str">
        <f>IF(ele[[#This Row],[ر. المادة]]&lt;&gt; "",VLOOKUP(ele[[#This Row],[ر. المادة]],sammary[[رمز المادة]:[اسم المادة]],2,FALSE),"")</f>
        <v/>
      </c>
      <c r="D238" s="24"/>
      <c r="E238" s="74"/>
    </row>
    <row r="239" spans="1:5" ht="20.100000000000001" customHeight="1">
      <c r="A239" s="11"/>
      <c r="B239" s="104"/>
      <c r="C239" s="12" t="str">
        <f>IF(ele[[#This Row],[ر. المادة]]&lt;&gt; "",VLOOKUP(ele[[#This Row],[ر. المادة]],sammary[[رمز المادة]:[اسم المادة]],2,FALSE),"")</f>
        <v/>
      </c>
      <c r="D239" s="24"/>
      <c r="E239" s="74"/>
    </row>
    <row r="240" spans="1:5" ht="20.100000000000001" customHeight="1">
      <c r="A240" s="11"/>
      <c r="B240" s="104"/>
      <c r="C240" s="12" t="str">
        <f>IF(ele[[#This Row],[ر. المادة]]&lt;&gt; "",VLOOKUP(ele[[#This Row],[ر. المادة]],sammary[[رمز المادة]:[اسم المادة]],2,FALSE),"")</f>
        <v/>
      </c>
      <c r="D240" s="24"/>
      <c r="E240" s="74"/>
    </row>
    <row r="241" spans="1:5" ht="20.100000000000001" customHeight="1">
      <c r="A241" s="11"/>
      <c r="B241" s="104"/>
      <c r="C241" s="12" t="str">
        <f>IF(ele[[#This Row],[ر. المادة]]&lt;&gt; "",VLOOKUP(ele[[#This Row],[ر. المادة]],sammary[[رمز المادة]:[اسم المادة]],2,FALSE),"")</f>
        <v/>
      </c>
      <c r="D241" s="24"/>
      <c r="E241" s="74"/>
    </row>
    <row r="242" spans="1:5" ht="20.100000000000001" customHeight="1">
      <c r="A242" s="11"/>
      <c r="B242" s="104"/>
      <c r="C242" s="12" t="str">
        <f>IF(ele[[#This Row],[ر. المادة]]&lt;&gt; "",VLOOKUP(ele[[#This Row],[ر. المادة]],sammary[[رمز المادة]:[اسم المادة]],2,FALSE),"")</f>
        <v/>
      </c>
      <c r="D242" s="24"/>
      <c r="E242" s="74"/>
    </row>
    <row r="243" spans="1:5" ht="20.100000000000001" customHeight="1">
      <c r="A243" s="11"/>
      <c r="B243" s="104"/>
      <c r="C243" s="12" t="str">
        <f>IF(ele[[#This Row],[ر. المادة]]&lt;&gt; "",VLOOKUP(ele[[#This Row],[ر. المادة]],sammary[[رمز المادة]:[اسم المادة]],2,FALSE),"")</f>
        <v/>
      </c>
      <c r="D243" s="24"/>
      <c r="E243" s="74"/>
    </row>
    <row r="244" spans="1:5" ht="20.100000000000001" customHeight="1">
      <c r="A244" s="11"/>
      <c r="B244" s="104"/>
      <c r="C244" s="12" t="str">
        <f>IF(ele[[#This Row],[ر. المادة]]&lt;&gt; "",VLOOKUP(ele[[#This Row],[ر. المادة]],sammary[[رمز المادة]:[اسم المادة]],2,FALSE),"")</f>
        <v/>
      </c>
      <c r="D244" s="24"/>
      <c r="E244" s="74"/>
    </row>
    <row r="245" spans="1:5" ht="20.100000000000001" customHeight="1">
      <c r="A245" s="11"/>
      <c r="B245" s="104"/>
      <c r="C245" s="12" t="str">
        <f>IF(ele[[#This Row],[ر. المادة]]&lt;&gt; "",VLOOKUP(ele[[#This Row],[ر. المادة]],sammary[[رمز المادة]:[اسم المادة]],2,FALSE),"")</f>
        <v/>
      </c>
      <c r="D245" s="24"/>
      <c r="E245" s="74"/>
    </row>
    <row r="246" spans="1:5" ht="20.100000000000001" customHeight="1">
      <c r="A246" s="11"/>
      <c r="B246" s="104"/>
      <c r="C246" s="12" t="str">
        <f>IF(ele[[#This Row],[ر. المادة]]&lt;&gt; "",VLOOKUP(ele[[#This Row],[ر. المادة]],sammary[[رمز المادة]:[اسم المادة]],2,FALSE),"")</f>
        <v/>
      </c>
      <c r="D246" s="24"/>
      <c r="E246" s="74"/>
    </row>
    <row r="247" spans="1:5" ht="20.100000000000001" customHeight="1">
      <c r="A247" s="11"/>
      <c r="B247" s="104"/>
      <c r="C247" s="12" t="str">
        <f>IF(ele[[#This Row],[ر. المادة]]&lt;&gt; "",VLOOKUP(ele[[#This Row],[ر. المادة]],sammary[[رمز المادة]:[اسم المادة]],2,FALSE),"")</f>
        <v/>
      </c>
      <c r="D247" s="24"/>
      <c r="E247" s="74"/>
    </row>
    <row r="248" spans="1:5" ht="20.100000000000001" customHeight="1">
      <c r="A248" s="11"/>
      <c r="B248" s="104"/>
      <c r="C248" s="12" t="str">
        <f>IF(ele[[#This Row],[ر. المادة]]&lt;&gt; "",VLOOKUP(ele[[#This Row],[ر. المادة]],sammary[[رمز المادة]:[اسم المادة]],2,FALSE),"")</f>
        <v/>
      </c>
      <c r="D248" s="24"/>
      <c r="E248" s="74"/>
    </row>
    <row r="249" spans="1:5" ht="20.100000000000001" customHeight="1">
      <c r="A249" s="11"/>
      <c r="B249" s="104"/>
      <c r="C249" s="12" t="str">
        <f>IF(ele[[#This Row],[ر. المادة]]&lt;&gt; "",VLOOKUP(ele[[#This Row],[ر. المادة]],sammary[[رمز المادة]:[اسم المادة]],2,FALSE),"")</f>
        <v/>
      </c>
      <c r="D249" s="24"/>
      <c r="E249" s="74"/>
    </row>
    <row r="250" spans="1:5" ht="20.100000000000001" customHeight="1">
      <c r="A250" s="11"/>
      <c r="B250" s="104"/>
      <c r="C250" s="12" t="str">
        <f>IF(ele[[#This Row],[ر. المادة]]&lt;&gt; "",VLOOKUP(ele[[#This Row],[ر. المادة]],sammary[[رمز المادة]:[اسم المادة]],2,FALSE),"")</f>
        <v/>
      </c>
      <c r="D250" s="24"/>
      <c r="E250" s="74"/>
    </row>
    <row r="251" spans="1:5" ht="20.100000000000001" customHeight="1">
      <c r="A251" s="11"/>
      <c r="B251" s="104"/>
      <c r="C251" s="12" t="str">
        <f>IF(ele[[#This Row],[ر. المادة]]&lt;&gt; "",VLOOKUP(ele[[#This Row],[ر. المادة]],sammary[[رمز المادة]:[اسم المادة]],2,FALSE),"")</f>
        <v/>
      </c>
      <c r="D251" s="24"/>
      <c r="E251" s="74"/>
    </row>
    <row r="252" spans="1:5" ht="20.100000000000001" customHeight="1">
      <c r="A252" s="11"/>
      <c r="B252" s="104"/>
      <c r="C252" s="12" t="str">
        <f>IF(ele[[#This Row],[ر. المادة]]&lt;&gt; "",VLOOKUP(ele[[#This Row],[ر. المادة]],sammary[[رمز المادة]:[اسم المادة]],2,FALSE),"")</f>
        <v/>
      </c>
      <c r="D252" s="24"/>
      <c r="E252" s="74"/>
    </row>
    <row r="253" spans="1:5" ht="20.100000000000001" customHeight="1">
      <c r="A253" s="11"/>
      <c r="B253" s="104"/>
      <c r="C253" s="12" t="str">
        <f>IF(ele[[#This Row],[ر. المادة]]&lt;&gt; "",VLOOKUP(ele[[#This Row],[ر. المادة]],sammary[[رمز المادة]:[اسم المادة]],2,FALSE),"")</f>
        <v/>
      </c>
      <c r="D253" s="24"/>
      <c r="E253" s="74"/>
    </row>
    <row r="254" spans="1:5" ht="20.100000000000001" customHeight="1">
      <c r="A254" s="11"/>
      <c r="B254" s="104"/>
      <c r="C254" s="12" t="str">
        <f>IF(ele[[#This Row],[ر. المادة]]&lt;&gt; "",VLOOKUP(ele[[#This Row],[ر. المادة]],sammary[[رمز المادة]:[اسم المادة]],2,FALSE),"")</f>
        <v/>
      </c>
      <c r="D254" s="24"/>
      <c r="E254" s="74"/>
    </row>
    <row r="255" spans="1:5" ht="20.100000000000001" customHeight="1">
      <c r="A255" s="11"/>
      <c r="B255" s="104"/>
      <c r="C255" s="12" t="str">
        <f>IF(ele[[#This Row],[ر. المادة]]&lt;&gt; "",VLOOKUP(ele[[#This Row],[ر. المادة]],sammary[[رمز المادة]:[اسم المادة]],2,FALSE),"")</f>
        <v/>
      </c>
      <c r="D255" s="24"/>
      <c r="E255" s="74"/>
    </row>
    <row r="256" spans="1:5" ht="20.100000000000001" customHeight="1">
      <c r="A256" s="11"/>
      <c r="B256" s="104"/>
      <c r="C256" s="12" t="str">
        <f>IF(ele[[#This Row],[ر. المادة]]&lt;&gt; "",VLOOKUP(ele[[#This Row],[ر. المادة]],sammary[[رمز المادة]:[اسم المادة]],2,FALSE),"")</f>
        <v/>
      </c>
      <c r="D256" s="24"/>
      <c r="E256" s="74"/>
    </row>
    <row r="257" spans="1:5" ht="20.100000000000001" customHeight="1">
      <c r="A257" s="11"/>
      <c r="B257" s="104"/>
      <c r="C257" s="12" t="str">
        <f>IF(ele[[#This Row],[ر. المادة]]&lt;&gt; "",VLOOKUP(ele[[#This Row],[ر. المادة]],sammary[[رمز المادة]:[اسم المادة]],2,FALSE),"")</f>
        <v/>
      </c>
      <c r="D257" s="24"/>
      <c r="E257" s="74"/>
    </row>
    <row r="258" spans="1:5" ht="20.100000000000001" customHeight="1">
      <c r="A258" s="11"/>
      <c r="B258" s="104"/>
      <c r="C258" s="12" t="str">
        <f>IF(ele[[#This Row],[ر. المادة]]&lt;&gt; "",VLOOKUP(ele[[#This Row],[ر. المادة]],sammary[[رمز المادة]:[اسم المادة]],2,FALSE),"")</f>
        <v/>
      </c>
      <c r="D258" s="24"/>
      <c r="E258" s="74"/>
    </row>
    <row r="259" spans="1:5" ht="20.100000000000001" customHeight="1">
      <c r="A259" s="11"/>
      <c r="B259" s="104"/>
      <c r="C259" s="12" t="str">
        <f>IF(ele[[#This Row],[ر. المادة]]&lt;&gt; "",VLOOKUP(ele[[#This Row],[ر. المادة]],sammary[[رمز المادة]:[اسم المادة]],2,FALSE),"")</f>
        <v/>
      </c>
      <c r="D259" s="24"/>
      <c r="E259" s="74"/>
    </row>
    <row r="260" spans="1:5" ht="20.100000000000001" customHeight="1">
      <c r="A260" s="11"/>
      <c r="B260" s="104"/>
      <c r="C260" s="12" t="str">
        <f>IF(ele[[#This Row],[ر. المادة]]&lt;&gt; "",VLOOKUP(ele[[#This Row],[ر. المادة]],sammary[[رمز المادة]:[اسم المادة]],2,FALSE),"")</f>
        <v/>
      </c>
      <c r="D260" s="24"/>
      <c r="E260" s="74"/>
    </row>
    <row r="261" spans="1:5" ht="20.100000000000001" customHeight="1">
      <c r="A261" s="11"/>
      <c r="B261" s="104"/>
      <c r="C261" s="12" t="str">
        <f>IF(ele[[#This Row],[ر. المادة]]&lt;&gt; "",VLOOKUP(ele[[#This Row],[ر. المادة]],sammary[[رمز المادة]:[اسم المادة]],2,FALSE),"")</f>
        <v/>
      </c>
      <c r="D261" s="24"/>
      <c r="E261" s="74"/>
    </row>
    <row r="262" spans="1:5" ht="20.100000000000001" customHeight="1">
      <c r="A262" s="11"/>
      <c r="B262" s="104"/>
      <c r="C262" s="12" t="str">
        <f>IF(ele[[#This Row],[ر. المادة]]&lt;&gt; "",VLOOKUP(ele[[#This Row],[ر. المادة]],sammary[[رمز المادة]:[اسم المادة]],2,FALSE),"")</f>
        <v/>
      </c>
      <c r="D262" s="24"/>
      <c r="E262" s="74"/>
    </row>
    <row r="263" spans="1:5" ht="20.100000000000001" customHeight="1">
      <c r="A263" s="11"/>
      <c r="B263" s="104"/>
      <c r="C263" s="12" t="str">
        <f>IF(ele[[#This Row],[ر. المادة]]&lt;&gt; "",VLOOKUP(ele[[#This Row],[ر. المادة]],sammary[[رمز المادة]:[اسم المادة]],2,FALSE),"")</f>
        <v/>
      </c>
      <c r="D263" s="24"/>
      <c r="E263" s="74"/>
    </row>
    <row r="264" spans="1:5" ht="20.100000000000001" customHeight="1">
      <c r="A264" s="11"/>
      <c r="B264" s="104"/>
      <c r="C264" s="12" t="str">
        <f>IF(ele[[#This Row],[ر. المادة]]&lt;&gt; "",VLOOKUP(ele[[#This Row],[ر. المادة]],sammary[[رمز المادة]:[اسم المادة]],2,FALSE),"")</f>
        <v/>
      </c>
      <c r="D264" s="24"/>
      <c r="E264" s="74"/>
    </row>
    <row r="265" spans="1:5" ht="20.100000000000001" customHeight="1">
      <c r="A265" s="11"/>
      <c r="B265" s="104"/>
      <c r="C265" s="12" t="str">
        <f>IF(ele[[#This Row],[ر. المادة]]&lt;&gt; "",VLOOKUP(ele[[#This Row],[ر. المادة]],sammary[[رمز المادة]:[اسم المادة]],2,FALSE),"")</f>
        <v/>
      </c>
      <c r="D265" s="24"/>
      <c r="E265" s="74"/>
    </row>
    <row r="266" spans="1:5" ht="20.100000000000001" customHeight="1">
      <c r="A266" s="11"/>
      <c r="B266" s="104"/>
      <c r="C266" s="12" t="str">
        <f>IF(ele[[#This Row],[ر. المادة]]&lt;&gt; "",VLOOKUP(ele[[#This Row],[ر. المادة]],sammary[[رمز المادة]:[اسم المادة]],2,FALSE),"")</f>
        <v/>
      </c>
      <c r="D266" s="24"/>
      <c r="E266" s="74"/>
    </row>
    <row r="267" spans="1:5" ht="20.100000000000001" customHeight="1">
      <c r="A267" s="11"/>
      <c r="B267" s="104"/>
      <c r="C267" s="12" t="str">
        <f>IF(ele[[#This Row],[ر. المادة]]&lt;&gt; "",VLOOKUP(ele[[#This Row],[ر. المادة]],sammary[[رمز المادة]:[اسم المادة]],2,FALSE),"")</f>
        <v/>
      </c>
      <c r="D267" s="24"/>
      <c r="E267" s="74"/>
    </row>
    <row r="268" spans="1:5" ht="20.100000000000001" customHeight="1">
      <c r="A268" s="11"/>
      <c r="B268" s="104"/>
      <c r="C268" s="12" t="str">
        <f>IF(ele[[#This Row],[ر. المادة]]&lt;&gt; "",VLOOKUP(ele[[#This Row],[ر. المادة]],sammary[[رمز المادة]:[اسم المادة]],2,FALSE),"")</f>
        <v/>
      </c>
      <c r="D268" s="24"/>
      <c r="E268" s="74"/>
    </row>
    <row r="269" spans="1:5" ht="20.100000000000001" customHeight="1">
      <c r="A269" s="11"/>
      <c r="B269" s="104"/>
      <c r="C269" s="12" t="str">
        <f>IF(ele[[#This Row],[ر. المادة]]&lt;&gt; "",VLOOKUP(ele[[#This Row],[ر. المادة]],sammary[[رمز المادة]:[اسم المادة]],2,FALSE),"")</f>
        <v/>
      </c>
      <c r="D269" s="24"/>
      <c r="E269" s="74"/>
    </row>
    <row r="270" spans="1:5" ht="20.100000000000001" customHeight="1">
      <c r="A270" s="11"/>
      <c r="B270" s="104"/>
      <c r="C270" s="12" t="str">
        <f>IF(ele[[#This Row],[ر. المادة]]&lt;&gt; "",VLOOKUP(ele[[#This Row],[ر. المادة]],sammary[[رمز المادة]:[اسم المادة]],2,FALSE),"")</f>
        <v/>
      </c>
      <c r="D270" s="24"/>
      <c r="E270" s="74"/>
    </row>
    <row r="271" spans="1:5" ht="20.100000000000001" customHeight="1">
      <c r="A271" s="124" t="s">
        <v>73</v>
      </c>
      <c r="B271" s="124"/>
      <c r="C271" s="124"/>
      <c r="D271" s="19">
        <f>SUBTOTAL(109,ele[عدد الصواني])</f>
        <v>3682</v>
      </c>
      <c r="E271" s="19">
        <f t="shared" ref="E271" si="0">SUBTOTAL(109,E2:E107)</f>
        <v>1437</v>
      </c>
    </row>
    <row r="272" spans="1:5" ht="0.75" customHeight="1"/>
  </sheetData>
  <mergeCells count="1">
    <mergeCell ref="A271:C271"/>
  </mergeCells>
  <pageMargins left="0" right="0" top="0" bottom="0" header="0" footer="0"/>
  <pageSetup paperSize="9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  <pageSetUpPr fitToPage="1"/>
  </sheetPr>
  <dimension ref="A1:AD86"/>
  <sheetViews>
    <sheetView rightToLeft="1" tabSelected="1" view="pageBreakPreview" topLeftCell="A7" zoomScale="80" zoomScaleNormal="120" zoomScaleSheetLayoutView="80" workbookViewId="0">
      <selection activeCell="G8" sqref="G8"/>
    </sheetView>
  </sheetViews>
  <sheetFormatPr defaultColWidth="8.7109375" defaultRowHeight="11.25"/>
  <cols>
    <col min="1" max="2" width="8.7109375" style="1"/>
    <col min="3" max="3" width="20.7109375" style="1" customWidth="1"/>
    <col min="4" max="21" width="10.7109375" style="1" customWidth="1"/>
    <col min="22" max="22" width="11" style="1" customWidth="1"/>
    <col min="23" max="25" width="10.7109375" style="1" customWidth="1"/>
    <col min="26" max="16384" width="8.7109375" style="1"/>
  </cols>
  <sheetData>
    <row r="1" spans="1:28" ht="20.100000000000001" customHeight="1">
      <c r="A1" s="125" t="s">
        <v>62</v>
      </c>
      <c r="B1" s="125"/>
      <c r="C1" s="125"/>
      <c r="D1" s="67">
        <f>'عداد الخلفات'!O111</f>
        <v>35</v>
      </c>
      <c r="E1" s="129" t="s">
        <v>67</v>
      </c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1"/>
      <c r="W1" s="128" t="s">
        <v>69</v>
      </c>
      <c r="X1" s="126">
        <v>46169</v>
      </c>
      <c r="Y1" s="126"/>
      <c r="AB1" s="2"/>
    </row>
    <row r="2" spans="1:28" ht="20.100000000000001" customHeight="1">
      <c r="A2" s="125" t="s">
        <v>63</v>
      </c>
      <c r="B2" s="125"/>
      <c r="C2" s="125"/>
      <c r="D2" s="67">
        <f>'عداد الخلفات'!O74</f>
        <v>11.5</v>
      </c>
      <c r="E2" s="132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28"/>
      <c r="X2" s="126"/>
      <c r="Y2" s="126"/>
      <c r="AB2" s="3"/>
    </row>
    <row r="3" spans="1:28" ht="20.100000000000001" customHeight="1">
      <c r="A3" s="125" t="s">
        <v>64</v>
      </c>
      <c r="B3" s="125"/>
      <c r="C3" s="125"/>
      <c r="D3" s="67">
        <f>'عداد الخلفات'!O37</f>
        <v>29</v>
      </c>
      <c r="E3" s="132" t="s">
        <v>68</v>
      </c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28" t="s">
        <v>70</v>
      </c>
      <c r="X3" s="127" t="s">
        <v>71</v>
      </c>
      <c r="Y3" s="127"/>
      <c r="AB3" s="3"/>
    </row>
    <row r="4" spans="1:28" ht="20.100000000000001" customHeight="1">
      <c r="A4" s="125" t="s">
        <v>65</v>
      </c>
      <c r="B4" s="125"/>
      <c r="C4" s="125"/>
      <c r="D4" s="67">
        <v>0</v>
      </c>
      <c r="E4" s="132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28"/>
      <c r="X4" s="127"/>
      <c r="Y4" s="127"/>
      <c r="AB4" s="3"/>
    </row>
    <row r="5" spans="1:28" ht="20.100000000000001" customHeight="1">
      <c r="A5" s="139" t="s">
        <v>66</v>
      </c>
      <c r="B5" s="139"/>
      <c r="C5" s="139"/>
      <c r="D5" s="83">
        <f>SUM(D1:D4)</f>
        <v>75.5</v>
      </c>
      <c r="E5" s="135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7"/>
      <c r="W5" s="128"/>
      <c r="X5" s="127"/>
      <c r="Y5" s="127"/>
      <c r="AB5" s="3"/>
    </row>
    <row r="6" spans="1:28" s="94" customFormat="1" ht="24.95" customHeight="1">
      <c r="A6" s="140" t="s">
        <v>25</v>
      </c>
      <c r="B6" s="140"/>
      <c r="C6" s="140"/>
      <c r="D6" s="140"/>
      <c r="E6" s="146" t="s">
        <v>2</v>
      </c>
      <c r="F6" s="146"/>
      <c r="G6" s="146"/>
      <c r="H6" s="146"/>
      <c r="I6" s="146"/>
      <c r="J6" s="146"/>
      <c r="K6" s="146"/>
      <c r="L6" s="146"/>
      <c r="M6" s="146"/>
      <c r="N6" s="147" t="s">
        <v>31</v>
      </c>
      <c r="O6" s="147"/>
      <c r="P6" s="142" t="s">
        <v>26</v>
      </c>
      <c r="Q6" s="142"/>
      <c r="R6" s="143" t="s">
        <v>27</v>
      </c>
      <c r="S6" s="143"/>
      <c r="T6" s="144" t="s">
        <v>28</v>
      </c>
      <c r="U6" s="144"/>
      <c r="V6" s="145" t="s">
        <v>29</v>
      </c>
      <c r="W6" s="145"/>
      <c r="X6" s="141" t="s">
        <v>30</v>
      </c>
      <c r="Y6" s="141"/>
      <c r="AB6" s="3"/>
    </row>
    <row r="7" spans="1:28" s="2" customFormat="1" ht="60" customHeight="1">
      <c r="A7" s="58" t="s">
        <v>0</v>
      </c>
      <c r="B7" s="58" t="s">
        <v>24</v>
      </c>
      <c r="C7" s="89" t="s">
        <v>32</v>
      </c>
      <c r="D7" s="58" t="s">
        <v>1</v>
      </c>
      <c r="E7" s="59" t="s">
        <v>5</v>
      </c>
      <c r="F7" s="59" t="s">
        <v>6</v>
      </c>
      <c r="G7" s="59" t="s">
        <v>7</v>
      </c>
      <c r="H7" s="59" t="s">
        <v>8</v>
      </c>
      <c r="I7" s="59" t="s">
        <v>9</v>
      </c>
      <c r="J7" s="59" t="s">
        <v>10</v>
      </c>
      <c r="K7" s="60" t="s">
        <v>11</v>
      </c>
      <c r="L7" s="59" t="s">
        <v>12</v>
      </c>
      <c r="M7" s="59" t="s">
        <v>13</v>
      </c>
      <c r="N7" s="61" t="s">
        <v>14</v>
      </c>
      <c r="O7" s="61" t="s">
        <v>15</v>
      </c>
      <c r="P7" s="62" t="s">
        <v>16</v>
      </c>
      <c r="Q7" s="62" t="s">
        <v>17</v>
      </c>
      <c r="R7" s="63" t="s">
        <v>18</v>
      </c>
      <c r="S7" s="63" t="s">
        <v>3</v>
      </c>
      <c r="T7" s="64" t="s">
        <v>19</v>
      </c>
      <c r="U7" s="64" t="s">
        <v>20</v>
      </c>
      <c r="V7" s="65" t="s">
        <v>21</v>
      </c>
      <c r="W7" s="65" t="s">
        <v>22</v>
      </c>
      <c r="X7" s="66" t="s">
        <v>23</v>
      </c>
      <c r="Y7" s="66" t="s">
        <v>4</v>
      </c>
      <c r="AB7" s="3"/>
    </row>
    <row r="8" spans="1:28" s="3" customFormat="1" ht="19.5" customHeight="1">
      <c r="A8" s="51">
        <v>1</v>
      </c>
      <c r="B8" s="51">
        <v>1</v>
      </c>
      <c r="C8" s="84" t="s">
        <v>33</v>
      </c>
      <c r="D8" s="51">
        <v>90</v>
      </c>
      <c r="E8" s="52">
        <v>40704</v>
      </c>
      <c r="F8" s="52">
        <v>9850</v>
      </c>
      <c r="G8" s="97" t="e">
        <f ca="1">Transfer(sammary[[#This Row],[رمز المادة]],transferTable[ر.م.مستورد],transferTable[ر.م.مصدر],transferTable[الكمية])</f>
        <v>#NAME?</v>
      </c>
      <c r="H8" s="53">
        <v>1133</v>
      </c>
      <c r="I8" s="52">
        <v>25</v>
      </c>
      <c r="J8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8" s="54" t="e">
        <f ca="1">sammary[[#This Row],[اجمالى الكمية]]*sammary[[#This Row],[السعر]]</f>
        <v>#NAME?</v>
      </c>
      <c r="L8" s="55" t="e">
        <f ca="1">'عداد النازل'!U2</f>
        <v>#NAME?</v>
      </c>
      <c r="M8" s="53" t="e">
        <f ca="1">sammary[[#This Row],[نازل]]-sammary[[#This Row],[اجمالى الكمية]]</f>
        <v>#NAME?</v>
      </c>
      <c r="N8" s="52"/>
      <c r="O8" s="54">
        <f>sammary[[#This Row],[كمية المتبقى امس]]*sammary[[#This Row],[السعر]]</f>
        <v>0</v>
      </c>
      <c r="P8" s="52"/>
      <c r="Q8" s="54">
        <f>sammary[[#This Row],[كمية الوارد فروع]]*sammary[[#This Row],[السعر]]</f>
        <v>0</v>
      </c>
      <c r="R8" s="52"/>
      <c r="S8" s="56">
        <f>sammary[[#This Row],[كمية التلف اليومى]]*sammary[[#This Row],[السعر]]</f>
        <v>0</v>
      </c>
      <c r="T8" s="52">
        <v>47344</v>
      </c>
      <c r="U8" s="54">
        <f>sammary[[#This Row],[كمية المبيعات اليومية]]*sammary[[#This Row],[السعر]]</f>
        <v>4260960</v>
      </c>
      <c r="V8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8" s="54" t="e">
        <f ca="1">sammary[[#This Row],[فرق الانتاج (المفقود)]]*sammary[[#This Row],[السعر]]</f>
        <v>#NAME?</v>
      </c>
      <c r="X8" s="52">
        <v>950</v>
      </c>
      <c r="Y8" s="54">
        <f>sammary[[#This Row],[متبقي انتاج اليوم]]*sammary[[#This Row],[السعر]]</f>
        <v>85500</v>
      </c>
    </row>
    <row r="9" spans="1:28" s="3" customFormat="1" ht="20.100000000000001" customHeight="1">
      <c r="A9" s="57">
        <v>2</v>
      </c>
      <c r="B9" s="51">
        <v>12</v>
      </c>
      <c r="C9" s="84" t="s">
        <v>34</v>
      </c>
      <c r="D9" s="51">
        <v>150</v>
      </c>
      <c r="E9" s="52">
        <v>0</v>
      </c>
      <c r="F9" s="52"/>
      <c r="G9" s="97" t="e">
        <f ca="1">Transfer(sammary[[#This Row],[رمز المادة]],transferTable[ر.م.مستورد],transferTable[ر.م.مصدر],transferTable[الكمية])</f>
        <v>#NAME?</v>
      </c>
      <c r="H9" s="53">
        <v>0</v>
      </c>
      <c r="I9" s="52"/>
      <c r="J9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9" s="54" t="e">
        <f ca="1">sammary[[#This Row],[اجمالى الكمية]]*sammary[[#This Row],[السعر]]</f>
        <v>#NAME?</v>
      </c>
      <c r="L9" s="55" t="e">
        <f ca="1">'عداد النازل'!U3</f>
        <v>#NAME?</v>
      </c>
      <c r="M9" s="53" t="e">
        <f ca="1">sammary[[#This Row],[نازل]]-sammary[[#This Row],[اجمالى الكمية]]</f>
        <v>#NAME?</v>
      </c>
      <c r="N9" s="52"/>
      <c r="O9" s="54">
        <f>sammary[[#This Row],[كمية المتبقى امس]]*sammary[[#This Row],[السعر]]</f>
        <v>0</v>
      </c>
      <c r="P9" s="52"/>
      <c r="Q9" s="54">
        <f>sammary[[#This Row],[كمية الوارد فروع]]*sammary[[#This Row],[السعر]]</f>
        <v>0</v>
      </c>
      <c r="R9" s="52"/>
      <c r="S9" s="56">
        <f>sammary[[#This Row],[كمية التلف اليومى]]*sammary[[#This Row],[السعر]]</f>
        <v>0</v>
      </c>
      <c r="T9" s="52">
        <v>0</v>
      </c>
      <c r="U9" s="54">
        <f>sammary[[#This Row],[كمية المبيعات اليومية]]*sammary[[#This Row],[السعر]]</f>
        <v>0</v>
      </c>
      <c r="V9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9" s="54" t="e">
        <f ca="1">sammary[[#This Row],[فرق الانتاج (المفقود)]]*sammary[[#This Row],[السعر]]</f>
        <v>#NAME?</v>
      </c>
      <c r="X9" s="52"/>
      <c r="Y9" s="54">
        <f>sammary[[#This Row],[متبقي انتاج اليوم]]*sammary[[#This Row],[السعر]]</f>
        <v>0</v>
      </c>
    </row>
    <row r="10" spans="1:28" s="3" customFormat="1" ht="20.100000000000001" customHeight="1">
      <c r="A10" s="51">
        <v>3</v>
      </c>
      <c r="B10" s="51">
        <v>141</v>
      </c>
      <c r="C10" s="84" t="s">
        <v>35</v>
      </c>
      <c r="D10" s="51">
        <v>300</v>
      </c>
      <c r="E10" s="52">
        <v>6943</v>
      </c>
      <c r="F10" s="52">
        <v>260</v>
      </c>
      <c r="G10" s="97" t="e">
        <f ca="1">Transfer(sammary[[#This Row],[رمز المادة]],transferTable[ر.م.مستورد],transferTable[ر.م.مصدر],transferTable[الكمية])</f>
        <v>#NAME?</v>
      </c>
      <c r="H10" s="53">
        <v>2</v>
      </c>
      <c r="I10" s="52">
        <v>48</v>
      </c>
      <c r="J10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0" s="54" t="e">
        <f ca="1">sammary[[#This Row],[اجمالى الكمية]]*sammary[[#This Row],[السعر]]</f>
        <v>#NAME?</v>
      </c>
      <c r="L10" s="55" t="e">
        <f ca="1">'عداد النازل'!U4</f>
        <v>#NAME?</v>
      </c>
      <c r="M10" s="53" t="e">
        <f ca="1">sammary[[#This Row],[نازل]]-sammary[[#This Row],[اجمالى الكمية]]</f>
        <v>#NAME?</v>
      </c>
      <c r="N10" s="52"/>
      <c r="O10" s="54">
        <f>sammary[[#This Row],[كمية المتبقى امس]]*sammary[[#This Row],[السعر]]</f>
        <v>0</v>
      </c>
      <c r="P10" s="52"/>
      <c r="Q10" s="54">
        <f>sammary[[#This Row],[كمية الوارد فروع]]*sammary[[#This Row],[السعر]]</f>
        <v>0</v>
      </c>
      <c r="R10" s="52"/>
      <c r="S10" s="56">
        <f>sammary[[#This Row],[كمية التلف اليومى]]*sammary[[#This Row],[السعر]]</f>
        <v>0</v>
      </c>
      <c r="T10" s="52">
        <v>6806</v>
      </c>
      <c r="U10" s="54">
        <f>sammary[[#This Row],[كمية المبيعات اليومية]]*sammary[[#This Row],[السعر]]</f>
        <v>2041800</v>
      </c>
      <c r="V10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0" s="54" t="e">
        <f ca="1">sammary[[#This Row],[فرق الانتاج (المفقود)]]*sammary[[#This Row],[السعر]]</f>
        <v>#NAME?</v>
      </c>
      <c r="X10" s="52">
        <v>231</v>
      </c>
      <c r="Y10" s="54">
        <f>sammary[[#This Row],[متبقي انتاج اليوم]]*sammary[[#This Row],[السعر]]</f>
        <v>69300</v>
      </c>
    </row>
    <row r="11" spans="1:28" s="3" customFormat="1" ht="15.75">
      <c r="A11" s="57">
        <v>4</v>
      </c>
      <c r="B11" s="51">
        <v>142</v>
      </c>
      <c r="C11" s="84" t="s">
        <v>36</v>
      </c>
      <c r="D11" s="51">
        <v>400</v>
      </c>
      <c r="E11" s="52">
        <v>6308</v>
      </c>
      <c r="F11" s="52">
        <v>200</v>
      </c>
      <c r="G11" s="97" t="e">
        <f ca="1">Transfer(sammary[[#This Row],[رمز المادة]],transferTable[ر.م.مستورد],transferTable[ر.م.مصدر],transferTable[الكمية])</f>
        <v>#NAME?</v>
      </c>
      <c r="H11" s="53">
        <v>127</v>
      </c>
      <c r="I11" s="52"/>
      <c r="J11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1" s="54" t="e">
        <f ca="1">sammary[[#This Row],[اجمالى الكمية]]*sammary[[#This Row],[السعر]]</f>
        <v>#NAME?</v>
      </c>
      <c r="L11" s="55" t="e">
        <f ca="1">'عداد النازل'!U5</f>
        <v>#NAME?</v>
      </c>
      <c r="M11" s="53" t="e">
        <f ca="1">sammary[[#This Row],[نازل]]-sammary[[#This Row],[اجمالى الكمية]]</f>
        <v>#NAME?</v>
      </c>
      <c r="N11" s="52"/>
      <c r="O11" s="54">
        <f>sammary[[#This Row],[كمية المتبقى امس]]*sammary[[#This Row],[السعر]]</f>
        <v>0</v>
      </c>
      <c r="P11" s="52"/>
      <c r="Q11" s="54">
        <f>sammary[[#This Row],[كمية الوارد فروع]]*sammary[[#This Row],[السعر]]</f>
        <v>0</v>
      </c>
      <c r="R11" s="52"/>
      <c r="S11" s="56">
        <f>sammary[[#This Row],[كمية التلف اليومى]]*sammary[[#This Row],[السعر]]</f>
        <v>0</v>
      </c>
      <c r="T11" s="52">
        <v>6192</v>
      </c>
      <c r="U11" s="54">
        <f>sammary[[#This Row],[كمية المبيعات اليومية]]*sammary[[#This Row],[السعر]]</f>
        <v>2476800</v>
      </c>
      <c r="V11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1" s="54" t="e">
        <f ca="1">sammary[[#This Row],[فرق الانتاج (المفقود)]]*sammary[[#This Row],[السعر]]</f>
        <v>#NAME?</v>
      </c>
      <c r="X11" s="52">
        <v>90</v>
      </c>
      <c r="Y11" s="54">
        <f>sammary[[#This Row],[متبقي انتاج اليوم]]*sammary[[#This Row],[السعر]]</f>
        <v>36000</v>
      </c>
    </row>
    <row r="12" spans="1:28" s="3" customFormat="1" ht="16.5" customHeight="1">
      <c r="A12" s="51">
        <v>5</v>
      </c>
      <c r="B12" s="51">
        <v>143</v>
      </c>
      <c r="C12" s="84" t="s">
        <v>37</v>
      </c>
      <c r="D12" s="51">
        <v>450</v>
      </c>
      <c r="E12" s="52">
        <v>1680</v>
      </c>
      <c r="F12" s="52"/>
      <c r="G12" s="97" t="e">
        <f ca="1">Transfer(sammary[[#This Row],[رمز المادة]],transferTable[ر.م.مستورد],transferTable[ر.م.مصدر],transferTable[الكمية])</f>
        <v>#NAME?</v>
      </c>
      <c r="H12" s="53">
        <v>62</v>
      </c>
      <c r="I12" s="52"/>
      <c r="J12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2" s="54" t="e">
        <f ca="1">sammary[[#This Row],[اجمالى الكمية]]*sammary[[#This Row],[السعر]]</f>
        <v>#NAME?</v>
      </c>
      <c r="L12" s="55" t="e">
        <f ca="1">'عداد النازل'!U6</f>
        <v>#NAME?</v>
      </c>
      <c r="M12" s="53" t="e">
        <f ca="1">sammary[[#This Row],[نازل]]-sammary[[#This Row],[اجمالى الكمية]]</f>
        <v>#NAME?</v>
      </c>
      <c r="N12" s="52"/>
      <c r="O12" s="54">
        <f>sammary[[#This Row],[كمية المتبقى امس]]*sammary[[#This Row],[السعر]]</f>
        <v>0</v>
      </c>
      <c r="P12" s="52"/>
      <c r="Q12" s="54">
        <f>sammary[[#This Row],[كمية الوارد فروع]]*sammary[[#This Row],[السعر]]</f>
        <v>0</v>
      </c>
      <c r="R12" s="52"/>
      <c r="S12" s="56">
        <f>sammary[[#This Row],[كمية التلف اليومى]]*sammary[[#This Row],[السعر]]</f>
        <v>0</v>
      </c>
      <c r="T12" s="52">
        <v>1570</v>
      </c>
      <c r="U12" s="54">
        <f>sammary[[#This Row],[كمية المبيعات اليومية]]*sammary[[#This Row],[السعر]]</f>
        <v>706500</v>
      </c>
      <c r="V12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2" s="54" t="e">
        <f ca="1">sammary[[#This Row],[فرق الانتاج (المفقود)]]*sammary[[#This Row],[السعر]]</f>
        <v>#NAME?</v>
      </c>
      <c r="X12" s="52">
        <v>12</v>
      </c>
      <c r="Y12" s="54">
        <f>sammary[[#This Row],[متبقي انتاج اليوم]]*sammary[[#This Row],[السعر]]</f>
        <v>5400</v>
      </c>
    </row>
    <row r="13" spans="1:28" s="3" customFormat="1" ht="21" customHeight="1">
      <c r="A13" s="57">
        <v>6</v>
      </c>
      <c r="B13" s="51">
        <v>133</v>
      </c>
      <c r="C13" s="84" t="s">
        <v>38</v>
      </c>
      <c r="D13" s="51">
        <v>450</v>
      </c>
      <c r="E13" s="52">
        <v>1062</v>
      </c>
      <c r="F13" s="52"/>
      <c r="G13" s="97" t="e">
        <f ca="1">Transfer(sammary[[#This Row],[رمز المادة]],transferTable[ر.م.مستورد],transferTable[ر.م.مصدر],transferTable[الكمية])</f>
        <v>#NAME?</v>
      </c>
      <c r="H13" s="53">
        <v>0</v>
      </c>
      <c r="I13" s="52"/>
      <c r="J13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3" s="54" t="e">
        <f ca="1">sammary[[#This Row],[اجمالى الكمية]]*sammary[[#This Row],[السعر]]</f>
        <v>#NAME?</v>
      </c>
      <c r="L13" s="55" t="e">
        <f ca="1">'عداد النازل'!U7</f>
        <v>#NAME?</v>
      </c>
      <c r="M13" s="53" t="e">
        <f ca="1">sammary[[#This Row],[نازل]]-sammary[[#This Row],[اجمالى الكمية]]</f>
        <v>#NAME?</v>
      </c>
      <c r="N13" s="52"/>
      <c r="O13" s="54">
        <f>sammary[[#This Row],[كمية المتبقى امس]]*sammary[[#This Row],[السعر]]</f>
        <v>0</v>
      </c>
      <c r="P13" s="52"/>
      <c r="Q13" s="54">
        <f>sammary[[#This Row],[كمية الوارد فروع]]*sammary[[#This Row],[السعر]]</f>
        <v>0</v>
      </c>
      <c r="R13" s="52"/>
      <c r="S13" s="56">
        <f>sammary[[#This Row],[كمية التلف اليومى]]*sammary[[#This Row],[السعر]]</f>
        <v>0</v>
      </c>
      <c r="T13" s="52">
        <v>1074</v>
      </c>
      <c r="U13" s="54">
        <f>sammary[[#This Row],[كمية المبيعات اليومية]]*sammary[[#This Row],[السعر]]</f>
        <v>483300</v>
      </c>
      <c r="V13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3" s="54" t="e">
        <f ca="1">sammary[[#This Row],[فرق الانتاج (المفقود)]]*sammary[[#This Row],[السعر]]</f>
        <v>#NAME?</v>
      </c>
      <c r="X13" s="52">
        <v>4</v>
      </c>
      <c r="Y13" s="54">
        <f>sammary[[#This Row],[متبقي انتاج اليوم]]*sammary[[#This Row],[السعر]]</f>
        <v>1800</v>
      </c>
    </row>
    <row r="14" spans="1:28" s="3" customFormat="1" ht="20.100000000000001" customHeight="1">
      <c r="A14" s="51">
        <v>7</v>
      </c>
      <c r="B14" s="51">
        <v>132</v>
      </c>
      <c r="C14" s="84" t="s">
        <v>39</v>
      </c>
      <c r="D14" s="51">
        <v>400</v>
      </c>
      <c r="E14" s="52">
        <v>860</v>
      </c>
      <c r="F14" s="52"/>
      <c r="G14" s="97" t="e">
        <f ca="1">Transfer(sammary[[#This Row],[رمز المادة]],transferTable[ر.م.مستورد],transferTable[ر.م.مصدر],transferTable[الكمية])</f>
        <v>#NAME?</v>
      </c>
      <c r="H14" s="53">
        <v>110</v>
      </c>
      <c r="I14" s="52"/>
      <c r="J14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4" s="54" t="e">
        <f ca="1">sammary[[#This Row],[اجمالى الكمية]]*sammary[[#This Row],[السعر]]</f>
        <v>#NAME?</v>
      </c>
      <c r="L14" s="55" t="e">
        <f ca="1">'عداد النازل'!U8</f>
        <v>#NAME?</v>
      </c>
      <c r="M14" s="53" t="e">
        <f ca="1">sammary[[#This Row],[نازل]]-sammary[[#This Row],[اجمالى الكمية]]</f>
        <v>#NAME?</v>
      </c>
      <c r="N14" s="52"/>
      <c r="O14" s="54">
        <f>sammary[[#This Row],[كمية المتبقى امس]]*sammary[[#This Row],[السعر]]</f>
        <v>0</v>
      </c>
      <c r="P14" s="52"/>
      <c r="Q14" s="54">
        <f>sammary[[#This Row],[كمية الوارد فروع]]*sammary[[#This Row],[السعر]]</f>
        <v>0</v>
      </c>
      <c r="R14" s="52"/>
      <c r="S14" s="56">
        <f>sammary[[#This Row],[كمية التلف اليومى]]*sammary[[#This Row],[السعر]]</f>
        <v>0</v>
      </c>
      <c r="T14" s="52">
        <v>576</v>
      </c>
      <c r="U14" s="54">
        <f>sammary[[#This Row],[كمية المبيعات اليومية]]*sammary[[#This Row],[السعر]]</f>
        <v>230400</v>
      </c>
      <c r="V14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4" s="54" t="e">
        <f ca="1">sammary[[#This Row],[فرق الانتاج (المفقود)]]*sammary[[#This Row],[السعر]]</f>
        <v>#NAME?</v>
      </c>
      <c r="X14" s="52">
        <v>168</v>
      </c>
      <c r="Y14" s="54">
        <f>sammary[[#This Row],[متبقي انتاج اليوم]]*sammary[[#This Row],[السعر]]</f>
        <v>67200</v>
      </c>
    </row>
    <row r="15" spans="1:28" s="3" customFormat="1" ht="20.100000000000001" customHeight="1">
      <c r="A15" s="57">
        <v>8</v>
      </c>
      <c r="B15" s="51">
        <v>131</v>
      </c>
      <c r="C15" s="84" t="s">
        <v>40</v>
      </c>
      <c r="D15" s="51">
        <v>300</v>
      </c>
      <c r="E15" s="52">
        <v>360</v>
      </c>
      <c r="F15" s="52">
        <v>10</v>
      </c>
      <c r="G15" s="97" t="e">
        <f ca="1">Transfer(sammary[[#This Row],[رمز المادة]],transferTable[ر.م.مستورد],transferTable[ر.م.مصدر],transferTable[الكمية])</f>
        <v>#NAME?</v>
      </c>
      <c r="H15" s="53">
        <v>0</v>
      </c>
      <c r="I15" s="52"/>
      <c r="J15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5" s="54" t="e">
        <f ca="1">sammary[[#This Row],[اجمالى الكمية]]*sammary[[#This Row],[السعر]]</f>
        <v>#NAME?</v>
      </c>
      <c r="L15" s="55" t="e">
        <f ca="1">'عداد النازل'!U9</f>
        <v>#NAME?</v>
      </c>
      <c r="M15" s="53" t="e">
        <f ca="1">sammary[[#This Row],[نازل]]-sammary[[#This Row],[اجمالى الكمية]]</f>
        <v>#NAME?</v>
      </c>
      <c r="N15" s="52"/>
      <c r="O15" s="54">
        <f>sammary[[#This Row],[كمية المتبقى امس]]*sammary[[#This Row],[السعر]]</f>
        <v>0</v>
      </c>
      <c r="P15" s="52"/>
      <c r="Q15" s="54">
        <f>sammary[[#This Row],[كمية الوارد فروع]]*sammary[[#This Row],[السعر]]</f>
        <v>0</v>
      </c>
      <c r="R15" s="52"/>
      <c r="S15" s="56">
        <f>sammary[[#This Row],[كمية التلف اليومى]]*sammary[[#This Row],[السعر]]</f>
        <v>0</v>
      </c>
      <c r="T15" s="52">
        <v>240</v>
      </c>
      <c r="U15" s="54">
        <f>sammary[[#This Row],[كمية المبيعات اليومية]]*sammary[[#This Row],[السعر]]</f>
        <v>72000</v>
      </c>
      <c r="V15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5" s="54" t="e">
        <f ca="1">sammary[[#This Row],[فرق الانتاج (المفقود)]]*sammary[[#This Row],[السعر]]</f>
        <v>#NAME?</v>
      </c>
      <c r="X15" s="52">
        <v>46</v>
      </c>
      <c r="Y15" s="54">
        <f>sammary[[#This Row],[متبقي انتاج اليوم]]*sammary[[#This Row],[السعر]]</f>
        <v>13800</v>
      </c>
    </row>
    <row r="16" spans="1:28" s="3" customFormat="1" ht="18.75" customHeight="1">
      <c r="A16" s="51">
        <v>9</v>
      </c>
      <c r="B16" s="51">
        <v>101</v>
      </c>
      <c r="C16" s="84" t="s">
        <v>41</v>
      </c>
      <c r="D16" s="51">
        <v>250</v>
      </c>
      <c r="E16" s="52">
        <v>624</v>
      </c>
      <c r="F16" s="52"/>
      <c r="G16" s="97" t="e">
        <f ca="1">Transfer(sammary[[#This Row],[رمز المادة]],transferTable[ر.م.مستورد],transferTable[ر.م.مصدر],transferTable[الكمية])</f>
        <v>#NAME?</v>
      </c>
      <c r="H16" s="53">
        <v>6</v>
      </c>
      <c r="I16" s="52"/>
      <c r="J16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6" s="54" t="e">
        <f ca="1">sammary[[#This Row],[اجمالى الكمية]]*sammary[[#This Row],[السعر]]</f>
        <v>#NAME?</v>
      </c>
      <c r="L16" s="55" t="e">
        <f ca="1">'عداد النازل'!U10</f>
        <v>#NAME?</v>
      </c>
      <c r="M16" s="53" t="e">
        <f ca="1">sammary[[#This Row],[نازل]]-sammary[[#This Row],[اجمالى الكمية]]</f>
        <v>#NAME?</v>
      </c>
      <c r="N16" s="52">
        <v>468</v>
      </c>
      <c r="O16" s="54">
        <f>sammary[[#This Row],[كمية المتبقى امس]]*sammary[[#This Row],[السعر]]</f>
        <v>117000</v>
      </c>
      <c r="P16" s="52"/>
      <c r="Q16" s="54">
        <f>sammary[[#This Row],[كمية الوارد فروع]]*sammary[[#This Row],[السعر]]</f>
        <v>0</v>
      </c>
      <c r="R16" s="52"/>
      <c r="S16" s="56">
        <f>sammary[[#This Row],[كمية التلف اليومى]]*sammary[[#This Row],[السعر]]</f>
        <v>0</v>
      </c>
      <c r="T16" s="52">
        <v>970</v>
      </c>
      <c r="U16" s="54">
        <f>sammary[[#This Row],[كمية المبيعات اليومية]]*sammary[[#This Row],[السعر]]</f>
        <v>242500</v>
      </c>
      <c r="V16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6" s="54" t="e">
        <f ca="1">sammary[[#This Row],[فرق الانتاج (المفقود)]]*sammary[[#This Row],[السعر]]</f>
        <v>#NAME?</v>
      </c>
      <c r="X16" s="52">
        <v>132</v>
      </c>
      <c r="Y16" s="54">
        <f>sammary[[#This Row],[متبقي انتاج اليوم]]*sammary[[#This Row],[السعر]]</f>
        <v>33000</v>
      </c>
    </row>
    <row r="17" spans="1:25" s="3" customFormat="1" ht="20.100000000000001" customHeight="1">
      <c r="A17" s="57">
        <v>10</v>
      </c>
      <c r="B17" s="51">
        <v>102</v>
      </c>
      <c r="C17" s="84" t="s">
        <v>42</v>
      </c>
      <c r="D17" s="51">
        <v>450</v>
      </c>
      <c r="E17" s="52">
        <v>0</v>
      </c>
      <c r="F17" s="52"/>
      <c r="G17" s="97" t="e">
        <f ca="1">Transfer(sammary[[#This Row],[رمز المادة]],transferTable[ر.م.مستورد],transferTable[ر.م.مصدر],transferTable[الكمية])</f>
        <v>#NAME?</v>
      </c>
      <c r="H17" s="53">
        <v>0</v>
      </c>
      <c r="I17" s="52"/>
      <c r="J17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7" s="54" t="e">
        <f ca="1">sammary[[#This Row],[اجمالى الكمية]]*sammary[[#This Row],[السعر]]</f>
        <v>#NAME?</v>
      </c>
      <c r="L17" s="55" t="e">
        <f ca="1">'عداد النازل'!U11</f>
        <v>#NAME?</v>
      </c>
      <c r="M17" s="53" t="e">
        <f ca="1">sammary[[#This Row],[نازل]]-sammary[[#This Row],[اجمالى الكمية]]</f>
        <v>#NAME?</v>
      </c>
      <c r="N17" s="52"/>
      <c r="O17" s="54">
        <f>sammary[[#This Row],[كمية المتبقى امس]]*sammary[[#This Row],[السعر]]</f>
        <v>0</v>
      </c>
      <c r="P17" s="52"/>
      <c r="Q17" s="54">
        <f>sammary[[#This Row],[كمية الوارد فروع]]*sammary[[#This Row],[السعر]]</f>
        <v>0</v>
      </c>
      <c r="R17" s="52"/>
      <c r="S17" s="56">
        <f>sammary[[#This Row],[كمية التلف اليومى]]*sammary[[#This Row],[السعر]]</f>
        <v>0</v>
      </c>
      <c r="T17" s="52">
        <v>0</v>
      </c>
      <c r="U17" s="54">
        <f>sammary[[#This Row],[كمية المبيعات اليومية]]*sammary[[#This Row],[السعر]]</f>
        <v>0</v>
      </c>
      <c r="V17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7" s="54" t="e">
        <f ca="1">sammary[[#This Row],[فرق الانتاج (المفقود)]]*sammary[[#This Row],[السعر]]</f>
        <v>#NAME?</v>
      </c>
      <c r="X17" s="52"/>
      <c r="Y17" s="54">
        <f>sammary[[#This Row],[متبقي انتاج اليوم]]*sammary[[#This Row],[السعر]]</f>
        <v>0</v>
      </c>
    </row>
    <row r="18" spans="1:25" s="3" customFormat="1" ht="20.100000000000001" customHeight="1">
      <c r="A18" s="51">
        <v>11</v>
      </c>
      <c r="B18" s="51">
        <v>666</v>
      </c>
      <c r="C18" s="84" t="s">
        <v>43</v>
      </c>
      <c r="D18" s="51">
        <v>250</v>
      </c>
      <c r="E18" s="52">
        <v>240</v>
      </c>
      <c r="F18" s="52"/>
      <c r="G18" s="97" t="e">
        <f ca="1">Transfer(sammary[[#This Row],[رمز المادة]],transferTable[ر.م.مستورد],transferTable[ر.م.مصدر],transferTable[الكمية])</f>
        <v>#NAME?</v>
      </c>
      <c r="H18" s="53">
        <v>0</v>
      </c>
      <c r="I18" s="52"/>
      <c r="J18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8" s="54" t="e">
        <f ca="1">sammary[[#This Row],[اجمالى الكمية]]*sammary[[#This Row],[السعر]]</f>
        <v>#NAME?</v>
      </c>
      <c r="L18" s="55" t="e">
        <f ca="1">'عداد النازل'!U12</f>
        <v>#NAME?</v>
      </c>
      <c r="M18" s="53" t="e">
        <f ca="1">sammary[[#This Row],[نازل]]-sammary[[#This Row],[اجمالى الكمية]]</f>
        <v>#NAME?</v>
      </c>
      <c r="N18" s="52"/>
      <c r="O18" s="54">
        <f>sammary[[#This Row],[كمية المتبقى امس]]*sammary[[#This Row],[السعر]]</f>
        <v>0</v>
      </c>
      <c r="P18" s="52">
        <v>30</v>
      </c>
      <c r="Q18" s="54">
        <f>sammary[[#This Row],[كمية الوارد فروع]]*sammary[[#This Row],[السعر]]</f>
        <v>7500</v>
      </c>
      <c r="R18" s="52"/>
      <c r="S18" s="56">
        <f>sammary[[#This Row],[كمية التلف اليومى]]*sammary[[#This Row],[السعر]]</f>
        <v>0</v>
      </c>
      <c r="T18" s="52">
        <v>270</v>
      </c>
      <c r="U18" s="54">
        <f>sammary[[#This Row],[كمية المبيعات اليومية]]*sammary[[#This Row],[السعر]]</f>
        <v>67500</v>
      </c>
      <c r="V18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8" s="54" t="e">
        <f ca="1">sammary[[#This Row],[فرق الانتاج (المفقود)]]*sammary[[#This Row],[السعر]]</f>
        <v>#NAME?</v>
      </c>
      <c r="X18" s="52"/>
      <c r="Y18" s="54">
        <f>sammary[[#This Row],[متبقي انتاج اليوم]]*sammary[[#This Row],[السعر]]</f>
        <v>0</v>
      </c>
    </row>
    <row r="19" spans="1:25" s="3" customFormat="1" ht="20.100000000000001" customHeight="1">
      <c r="A19" s="57">
        <v>12</v>
      </c>
      <c r="B19" s="51">
        <v>261</v>
      </c>
      <c r="C19" s="84" t="s">
        <v>44</v>
      </c>
      <c r="D19" s="51">
        <v>350</v>
      </c>
      <c r="E19" s="52">
        <v>6139</v>
      </c>
      <c r="F19" s="52">
        <v>134</v>
      </c>
      <c r="G19" s="97" t="e">
        <f ca="1">Transfer(sammary[[#This Row],[رمز المادة]],transferTable[ر.م.مستورد],transferTable[ر.م.مصدر],transferTable[الكمية])</f>
        <v>#NAME?</v>
      </c>
      <c r="H19" s="53">
        <v>108</v>
      </c>
      <c r="I19" s="52"/>
      <c r="J19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19" s="54" t="e">
        <f ca="1">sammary[[#This Row],[اجمالى الكمية]]*sammary[[#This Row],[السعر]]</f>
        <v>#NAME?</v>
      </c>
      <c r="L19" s="55" t="e">
        <f ca="1">'عداد النازل'!U13</f>
        <v>#NAME?</v>
      </c>
      <c r="M19" s="53" t="e">
        <f ca="1">sammary[[#This Row],[نازل]]-sammary[[#This Row],[اجمالى الكمية]]</f>
        <v>#NAME?</v>
      </c>
      <c r="N19" s="52"/>
      <c r="O19" s="54">
        <f>sammary[[#This Row],[كمية المتبقى امس]]*sammary[[#This Row],[السعر]]</f>
        <v>0</v>
      </c>
      <c r="P19" s="52"/>
      <c r="Q19" s="54">
        <f>sammary[[#This Row],[كمية الوارد فروع]]*sammary[[#This Row],[السعر]]</f>
        <v>0</v>
      </c>
      <c r="R19" s="52"/>
      <c r="S19" s="56">
        <f>sammary[[#This Row],[كمية التلف اليومى]]*sammary[[#This Row],[السعر]]</f>
        <v>0</v>
      </c>
      <c r="T19" s="52">
        <v>6128</v>
      </c>
      <c r="U19" s="54">
        <f>sammary[[#This Row],[كمية المبيعات اليومية]]*sammary[[#This Row],[السعر]]</f>
        <v>2144800</v>
      </c>
      <c r="V19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19" s="54" t="e">
        <f ca="1">sammary[[#This Row],[فرق الانتاج (المفقود)]]*sammary[[#This Row],[السعر]]</f>
        <v>#NAME?</v>
      </c>
      <c r="X19" s="52">
        <v>95</v>
      </c>
      <c r="Y19" s="54">
        <f>sammary[[#This Row],[متبقي انتاج اليوم]]*sammary[[#This Row],[السعر]]</f>
        <v>33250</v>
      </c>
    </row>
    <row r="20" spans="1:25" s="3" customFormat="1" ht="20.100000000000001" customHeight="1">
      <c r="A20" s="51">
        <v>13</v>
      </c>
      <c r="B20" s="51">
        <v>262</v>
      </c>
      <c r="C20" s="84" t="s">
        <v>45</v>
      </c>
      <c r="D20" s="51">
        <v>400</v>
      </c>
      <c r="E20" s="52">
        <v>3276</v>
      </c>
      <c r="F20" s="52"/>
      <c r="G20" s="97" t="e">
        <f ca="1">Transfer(sammary[[#This Row],[رمز المادة]],transferTable[ر.م.مستورد],transferTable[ر.م.مصدر],transferTable[الكمية])</f>
        <v>#NAME?</v>
      </c>
      <c r="H20" s="53">
        <v>130</v>
      </c>
      <c r="I20" s="52"/>
      <c r="J20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0" s="54" t="e">
        <f ca="1">sammary[[#This Row],[اجمالى الكمية]]*sammary[[#This Row],[السعر]]</f>
        <v>#NAME?</v>
      </c>
      <c r="L20" s="55" t="e">
        <f ca="1">'عداد النازل'!U14</f>
        <v>#NAME?</v>
      </c>
      <c r="M20" s="53" t="e">
        <f ca="1">sammary[[#This Row],[نازل]]-sammary[[#This Row],[اجمالى الكمية]]</f>
        <v>#NAME?</v>
      </c>
      <c r="N20" s="52"/>
      <c r="O20" s="54">
        <f>sammary[[#This Row],[كمية المتبقى امس]]*sammary[[#This Row],[السعر]]</f>
        <v>0</v>
      </c>
      <c r="P20" s="52"/>
      <c r="Q20" s="54">
        <f>sammary[[#This Row],[كمية الوارد فروع]]*sammary[[#This Row],[السعر]]</f>
        <v>0</v>
      </c>
      <c r="R20" s="52"/>
      <c r="S20" s="56">
        <f>sammary[[#This Row],[كمية التلف اليومى]]*sammary[[#This Row],[السعر]]</f>
        <v>0</v>
      </c>
      <c r="T20" s="52">
        <v>3044</v>
      </c>
      <c r="U20" s="54">
        <f>sammary[[#This Row],[كمية المبيعات اليومية]]*sammary[[#This Row],[السعر]]</f>
        <v>1217600</v>
      </c>
      <c r="V20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0" s="54" t="e">
        <f ca="1">sammary[[#This Row],[فرق الانتاج (المفقود)]]*sammary[[#This Row],[السعر]]</f>
        <v>#NAME?</v>
      </c>
      <c r="X20" s="52">
        <v>10</v>
      </c>
      <c r="Y20" s="54">
        <f>sammary[[#This Row],[متبقي انتاج اليوم]]*sammary[[#This Row],[السعر]]</f>
        <v>4000</v>
      </c>
    </row>
    <row r="21" spans="1:25" s="3" customFormat="1" ht="20.100000000000001" customHeight="1">
      <c r="A21" s="57">
        <v>14</v>
      </c>
      <c r="B21" s="51">
        <v>263</v>
      </c>
      <c r="C21" s="84" t="s">
        <v>46</v>
      </c>
      <c r="D21" s="51">
        <v>400</v>
      </c>
      <c r="E21" s="52">
        <v>1456</v>
      </c>
      <c r="F21" s="52">
        <v>4</v>
      </c>
      <c r="G21" s="97" t="e">
        <f ca="1">Transfer(sammary[[#This Row],[رمز المادة]],transferTable[ر.م.مستورد],transferTable[ر.م.مصدر],transferTable[الكمية])</f>
        <v>#NAME?</v>
      </c>
      <c r="H21" s="53">
        <v>48</v>
      </c>
      <c r="I21" s="52"/>
      <c r="J21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1" s="54" t="e">
        <f ca="1">sammary[[#This Row],[اجمالى الكمية]]*sammary[[#This Row],[السعر]]</f>
        <v>#NAME?</v>
      </c>
      <c r="L21" s="55" t="e">
        <f ca="1">'عداد النازل'!U15</f>
        <v>#NAME?</v>
      </c>
      <c r="M21" s="53" t="e">
        <f ca="1">sammary[[#This Row],[نازل]]-sammary[[#This Row],[اجمالى الكمية]]</f>
        <v>#NAME?</v>
      </c>
      <c r="N21" s="52"/>
      <c r="O21" s="54">
        <f>sammary[[#This Row],[كمية المتبقى امس]]*sammary[[#This Row],[السعر]]</f>
        <v>0</v>
      </c>
      <c r="P21" s="52"/>
      <c r="Q21" s="54">
        <f>sammary[[#This Row],[كمية الوارد فروع]]*sammary[[#This Row],[السعر]]</f>
        <v>0</v>
      </c>
      <c r="R21" s="52"/>
      <c r="S21" s="56">
        <f>sammary[[#This Row],[كمية التلف اليومى]]*sammary[[#This Row],[السعر]]</f>
        <v>0</v>
      </c>
      <c r="T21" s="52">
        <v>1416</v>
      </c>
      <c r="U21" s="54">
        <f>sammary[[#This Row],[كمية المبيعات اليومية]]*sammary[[#This Row],[السعر]]</f>
        <v>566400</v>
      </c>
      <c r="V21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1" s="54" t="e">
        <f ca="1">sammary[[#This Row],[فرق الانتاج (المفقود)]]*sammary[[#This Row],[السعر]]</f>
        <v>#NAME?</v>
      </c>
      <c r="X21" s="52">
        <v>16</v>
      </c>
      <c r="Y21" s="54">
        <f>sammary[[#This Row],[متبقي انتاج اليوم]]*sammary[[#This Row],[السعر]]</f>
        <v>6400</v>
      </c>
    </row>
    <row r="22" spans="1:25" s="3" customFormat="1" ht="20.100000000000001" customHeight="1">
      <c r="A22" s="51">
        <v>15</v>
      </c>
      <c r="B22" s="51">
        <v>32</v>
      </c>
      <c r="C22" s="84" t="s">
        <v>47</v>
      </c>
      <c r="D22" s="51">
        <v>350</v>
      </c>
      <c r="E22" s="52">
        <v>3240</v>
      </c>
      <c r="F22" s="52"/>
      <c r="G22" s="97" t="e">
        <f ca="1">Transfer(sammary[[#This Row],[رمز المادة]],transferTable[ر.م.مستورد],transferTable[ر.م.مصدر],transferTable[الكمية])</f>
        <v>#NAME?</v>
      </c>
      <c r="H22" s="53">
        <v>377</v>
      </c>
      <c r="I22" s="52"/>
      <c r="J22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2" s="54" t="e">
        <f ca="1">sammary[[#This Row],[اجمالى الكمية]]*sammary[[#This Row],[السعر]]</f>
        <v>#NAME?</v>
      </c>
      <c r="L22" s="55" t="e">
        <f ca="1">'عداد النازل'!U16</f>
        <v>#NAME?</v>
      </c>
      <c r="M22" s="53" t="e">
        <f ca="1">sammary[[#This Row],[نازل]]-sammary[[#This Row],[اجمالى الكمية]]</f>
        <v>#NAME?</v>
      </c>
      <c r="N22" s="52">
        <v>175</v>
      </c>
      <c r="O22" s="54">
        <f>sammary[[#This Row],[كمية المتبقى امس]]*sammary[[#This Row],[السعر]]</f>
        <v>61250</v>
      </c>
      <c r="P22" s="52"/>
      <c r="Q22" s="54">
        <f>sammary[[#This Row],[كمية الوارد فروع]]*sammary[[#This Row],[السعر]]</f>
        <v>0</v>
      </c>
      <c r="R22" s="52"/>
      <c r="S22" s="56">
        <f>sammary[[#This Row],[كمية التلف اليومى]]*sammary[[#This Row],[السعر]]</f>
        <v>0</v>
      </c>
      <c r="T22" s="52">
        <v>2885</v>
      </c>
      <c r="U22" s="54">
        <f>sammary[[#This Row],[كمية المبيعات اليومية]]*sammary[[#This Row],[السعر]]</f>
        <v>1009750</v>
      </c>
      <c r="V22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2" s="54" t="e">
        <f ca="1">sammary[[#This Row],[فرق الانتاج (المفقود)]]*sammary[[#This Row],[السعر]]</f>
        <v>#NAME?</v>
      </c>
      <c r="X22" s="52">
        <v>123</v>
      </c>
      <c r="Y22" s="54">
        <f>sammary[[#This Row],[متبقي انتاج اليوم]]*sammary[[#This Row],[السعر]]</f>
        <v>43050</v>
      </c>
    </row>
    <row r="23" spans="1:25" s="3" customFormat="1" ht="20.100000000000001" customHeight="1">
      <c r="A23" s="57">
        <v>16</v>
      </c>
      <c r="B23" s="51">
        <v>301</v>
      </c>
      <c r="C23" s="84" t="s">
        <v>48</v>
      </c>
      <c r="D23" s="51">
        <v>300</v>
      </c>
      <c r="E23" s="52">
        <v>2920</v>
      </c>
      <c r="F23" s="52">
        <v>240</v>
      </c>
      <c r="G23" s="97" t="e">
        <f ca="1">Transfer(sammary[[#This Row],[رمز المادة]],transferTable[ر.م.مستورد],transferTable[ر.م.مصدر],transferTable[الكمية])</f>
        <v>#NAME?</v>
      </c>
      <c r="H23" s="53">
        <v>0</v>
      </c>
      <c r="I23" s="52"/>
      <c r="J23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3" s="54" t="e">
        <f ca="1">sammary[[#This Row],[اجمالى الكمية]]*sammary[[#This Row],[السعر]]</f>
        <v>#NAME?</v>
      </c>
      <c r="L23" s="55" t="e">
        <f ca="1">'عداد النازل'!U17</f>
        <v>#NAME?</v>
      </c>
      <c r="M23" s="53" t="e">
        <f ca="1">sammary[[#This Row],[نازل]]-sammary[[#This Row],[اجمالى الكمية]]</f>
        <v>#NAME?</v>
      </c>
      <c r="N23" s="52"/>
      <c r="O23" s="54">
        <f>sammary[[#This Row],[كمية المتبقى امس]]*sammary[[#This Row],[السعر]]</f>
        <v>0</v>
      </c>
      <c r="P23" s="52"/>
      <c r="Q23" s="54">
        <f>sammary[[#This Row],[كمية الوارد فروع]]*sammary[[#This Row],[السعر]]</f>
        <v>0</v>
      </c>
      <c r="R23" s="52"/>
      <c r="S23" s="56">
        <f>sammary[[#This Row],[كمية التلف اليومى]]*sammary[[#This Row],[السعر]]</f>
        <v>0</v>
      </c>
      <c r="T23" s="52">
        <v>1525</v>
      </c>
      <c r="U23" s="54">
        <f>sammary[[#This Row],[كمية المبيعات اليومية]]*sammary[[#This Row],[السعر]]</f>
        <v>457500</v>
      </c>
      <c r="V23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3" s="54" t="e">
        <f ca="1">sammary[[#This Row],[فرق الانتاج (المفقود)]]*sammary[[#This Row],[السعر]]</f>
        <v>#NAME?</v>
      </c>
      <c r="X23" s="52">
        <v>6</v>
      </c>
      <c r="Y23" s="54">
        <f>sammary[[#This Row],[متبقي انتاج اليوم]]*sammary[[#This Row],[السعر]]</f>
        <v>1800</v>
      </c>
    </row>
    <row r="24" spans="1:25" s="3" customFormat="1" ht="20.100000000000001" customHeight="1">
      <c r="A24" s="51">
        <v>17</v>
      </c>
      <c r="B24" s="51">
        <v>302</v>
      </c>
      <c r="C24" s="84" t="s">
        <v>128</v>
      </c>
      <c r="D24" s="51">
        <v>400</v>
      </c>
      <c r="E24" s="52">
        <v>0</v>
      </c>
      <c r="F24" s="52"/>
      <c r="G24" s="97" t="e">
        <f ca="1">Transfer(sammary[[#This Row],[رمز المادة]],transferTable[ر.م.مستورد],transferTable[ر.م.مصدر],transferTable[الكمية])</f>
        <v>#NAME?</v>
      </c>
      <c r="H24" s="53">
        <v>5</v>
      </c>
      <c r="I24" s="52"/>
      <c r="J24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4" s="54" t="e">
        <f ca="1">sammary[[#This Row],[اجمالى الكمية]]*sammary[[#This Row],[السعر]]</f>
        <v>#NAME?</v>
      </c>
      <c r="L24" s="55" t="e">
        <f ca="1">'عداد النازل'!U18</f>
        <v>#NAME?</v>
      </c>
      <c r="M24" s="53" t="e">
        <f ca="1">sammary[[#This Row],[نازل]]-sammary[[#This Row],[اجمالى الكمية]]</f>
        <v>#NAME?</v>
      </c>
      <c r="N24" s="52"/>
      <c r="O24" s="54">
        <f>sammary[[#This Row],[كمية المتبقى امس]]*sammary[[#This Row],[السعر]]</f>
        <v>0</v>
      </c>
      <c r="P24" s="52">
        <v>10</v>
      </c>
      <c r="Q24" s="54">
        <f>sammary[[#This Row],[كمية الوارد فروع]]*sammary[[#This Row],[السعر]]</f>
        <v>4000</v>
      </c>
      <c r="R24" s="52"/>
      <c r="S24" s="56">
        <f>sammary[[#This Row],[كمية التلف اليومى]]*sammary[[#This Row],[السعر]]</f>
        <v>0</v>
      </c>
      <c r="T24" s="52">
        <v>1614</v>
      </c>
      <c r="U24" s="54">
        <f>sammary[[#This Row],[كمية المبيعات اليومية]]*sammary[[#This Row],[السعر]]</f>
        <v>645600</v>
      </c>
      <c r="V24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4" s="54" t="e">
        <f ca="1">sammary[[#This Row],[فرق الانتاج (المفقود)]]*sammary[[#This Row],[السعر]]</f>
        <v>#NAME?</v>
      </c>
      <c r="X24" s="52">
        <v>9</v>
      </c>
      <c r="Y24" s="54">
        <f>sammary[[#This Row],[متبقي انتاج اليوم]]*sammary[[#This Row],[السعر]]</f>
        <v>3600</v>
      </c>
    </row>
    <row r="25" spans="1:25" s="3" customFormat="1" ht="20.100000000000001" customHeight="1">
      <c r="A25" s="57">
        <v>18</v>
      </c>
      <c r="B25" s="51">
        <v>51</v>
      </c>
      <c r="C25" s="84" t="s">
        <v>49</v>
      </c>
      <c r="D25" s="51">
        <v>250</v>
      </c>
      <c r="E25" s="52">
        <v>224</v>
      </c>
      <c r="F25" s="52"/>
      <c r="G25" s="97" t="e">
        <f ca="1">Transfer(sammary[[#This Row],[رمز المادة]],transferTable[ر.م.مستورد],transferTable[ر.م.مصدر],transferTable[الكمية])</f>
        <v>#NAME?</v>
      </c>
      <c r="H25" s="53">
        <v>0</v>
      </c>
      <c r="I25" s="52"/>
      <c r="J25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5" s="54" t="e">
        <f ca="1">sammary[[#This Row],[اجمالى الكمية]]*sammary[[#This Row],[السعر]]</f>
        <v>#NAME?</v>
      </c>
      <c r="L25" s="55" t="e">
        <f ca="1">'عداد النازل'!U19</f>
        <v>#NAME?</v>
      </c>
      <c r="M25" s="53" t="e">
        <f ca="1">sammary[[#This Row],[نازل]]-sammary[[#This Row],[اجمالى الكمية]]</f>
        <v>#NAME?</v>
      </c>
      <c r="N25" s="52"/>
      <c r="O25" s="54">
        <f>sammary[[#This Row],[كمية المتبقى امس]]*sammary[[#This Row],[السعر]]</f>
        <v>0</v>
      </c>
      <c r="P25" s="52"/>
      <c r="Q25" s="54">
        <f>sammary[[#This Row],[كمية الوارد فروع]]*sammary[[#This Row],[السعر]]</f>
        <v>0</v>
      </c>
      <c r="R25" s="52"/>
      <c r="S25" s="56">
        <f>sammary[[#This Row],[كمية التلف اليومى]]*sammary[[#This Row],[السعر]]</f>
        <v>0</v>
      </c>
      <c r="T25" s="52">
        <v>222</v>
      </c>
      <c r="U25" s="54">
        <f>sammary[[#This Row],[كمية المبيعات اليومية]]*sammary[[#This Row],[السعر]]</f>
        <v>55500</v>
      </c>
      <c r="V25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5" s="54" t="e">
        <f ca="1">sammary[[#This Row],[فرق الانتاج (المفقود)]]*sammary[[#This Row],[السعر]]</f>
        <v>#NAME?</v>
      </c>
      <c r="X25" s="52"/>
      <c r="Y25" s="54">
        <f>sammary[[#This Row],[متبقي انتاج اليوم]]*sammary[[#This Row],[السعر]]</f>
        <v>0</v>
      </c>
    </row>
    <row r="26" spans="1:25" s="3" customFormat="1" ht="20.100000000000001" customHeight="1">
      <c r="A26" s="51">
        <v>19</v>
      </c>
      <c r="B26" s="51">
        <v>52</v>
      </c>
      <c r="C26" s="84" t="s">
        <v>50</v>
      </c>
      <c r="D26" s="51">
        <v>400</v>
      </c>
      <c r="E26" s="52">
        <v>45</v>
      </c>
      <c r="F26" s="52"/>
      <c r="G26" s="97" t="e">
        <f ca="1">Transfer(sammary[[#This Row],[رمز المادة]],transferTable[ر.م.مستورد],transferTable[ر.م.مصدر],transferTable[الكمية])</f>
        <v>#NAME?</v>
      </c>
      <c r="H26" s="53">
        <v>0</v>
      </c>
      <c r="I26" s="52"/>
      <c r="J26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6" s="54" t="e">
        <f ca="1">sammary[[#This Row],[اجمالى الكمية]]*sammary[[#This Row],[السعر]]</f>
        <v>#NAME?</v>
      </c>
      <c r="L26" s="55" t="e">
        <f ca="1">'عداد النازل'!U20</f>
        <v>#NAME?</v>
      </c>
      <c r="M26" s="53" t="e">
        <f ca="1">sammary[[#This Row],[نازل]]-sammary[[#This Row],[اجمالى الكمية]]</f>
        <v>#NAME?</v>
      </c>
      <c r="N26" s="52"/>
      <c r="O26" s="54">
        <f>sammary[[#This Row],[كمية المتبقى امس]]*sammary[[#This Row],[السعر]]</f>
        <v>0</v>
      </c>
      <c r="P26" s="52"/>
      <c r="Q26" s="54">
        <f>sammary[[#This Row],[كمية الوارد فروع]]*sammary[[#This Row],[السعر]]</f>
        <v>0</v>
      </c>
      <c r="R26" s="52"/>
      <c r="S26" s="56">
        <f>sammary[[#This Row],[كمية التلف اليومى]]*sammary[[#This Row],[السعر]]</f>
        <v>0</v>
      </c>
      <c r="T26" s="52">
        <v>50</v>
      </c>
      <c r="U26" s="54">
        <f>sammary[[#This Row],[كمية المبيعات اليومية]]*sammary[[#This Row],[السعر]]</f>
        <v>20000</v>
      </c>
      <c r="V26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6" s="54" t="e">
        <f ca="1">sammary[[#This Row],[فرق الانتاج (المفقود)]]*sammary[[#This Row],[السعر]]</f>
        <v>#NAME?</v>
      </c>
      <c r="X26" s="52"/>
      <c r="Y26" s="54">
        <f>sammary[[#This Row],[متبقي انتاج اليوم]]*sammary[[#This Row],[السعر]]</f>
        <v>0</v>
      </c>
    </row>
    <row r="27" spans="1:25" s="3" customFormat="1" ht="20.100000000000001" customHeight="1">
      <c r="A27" s="57">
        <v>20</v>
      </c>
      <c r="B27" s="51">
        <v>53</v>
      </c>
      <c r="C27" s="84" t="s">
        <v>122</v>
      </c>
      <c r="D27" s="51">
        <v>250</v>
      </c>
      <c r="E27" s="52">
        <v>0</v>
      </c>
      <c r="F27" s="52"/>
      <c r="G27" s="97" t="e">
        <f ca="1">Transfer(sammary[[#This Row],[رمز المادة]],transferTable[ر.م.مستورد],transferTable[ر.م.مصدر],transferTable[الكمية])</f>
        <v>#NAME?</v>
      </c>
      <c r="H27" s="53">
        <v>0</v>
      </c>
      <c r="I27" s="52"/>
      <c r="J27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7" s="54" t="e">
        <f ca="1">sammary[[#This Row],[اجمالى الكمية]]*sammary[[#This Row],[السعر]]</f>
        <v>#NAME?</v>
      </c>
      <c r="L27" s="55" t="e">
        <f ca="1">'عداد النازل'!U21</f>
        <v>#NAME?</v>
      </c>
      <c r="M27" s="53" t="e">
        <f ca="1">sammary[[#This Row],[نازل]]-sammary[[#This Row],[اجمالى الكمية]]</f>
        <v>#NAME?</v>
      </c>
      <c r="N27" s="52"/>
      <c r="O27" s="54">
        <f>sammary[[#This Row],[كمية المتبقى امس]]*sammary[[#This Row],[السعر]]</f>
        <v>0</v>
      </c>
      <c r="P27" s="52"/>
      <c r="Q27" s="54">
        <f>sammary[[#This Row],[كمية الوارد فروع]]*sammary[[#This Row],[السعر]]</f>
        <v>0</v>
      </c>
      <c r="R27" s="52"/>
      <c r="S27" s="56">
        <f>sammary[[#This Row],[كمية التلف اليومى]]*sammary[[#This Row],[السعر]]</f>
        <v>0</v>
      </c>
      <c r="T27" s="52">
        <v>0</v>
      </c>
      <c r="U27" s="54">
        <f>sammary[[#This Row],[كمية المبيعات اليومية]]*sammary[[#This Row],[السعر]]</f>
        <v>0</v>
      </c>
      <c r="V27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7" s="54" t="e">
        <f ca="1">sammary[[#This Row],[فرق الانتاج (المفقود)]]*sammary[[#This Row],[السعر]]</f>
        <v>#NAME?</v>
      </c>
      <c r="X27" s="52"/>
      <c r="Y27" s="54">
        <f>sammary[[#This Row],[متبقي انتاج اليوم]]*sammary[[#This Row],[السعر]]</f>
        <v>0</v>
      </c>
    </row>
    <row r="28" spans="1:25" s="3" customFormat="1" ht="20.100000000000001" customHeight="1">
      <c r="A28" s="51">
        <v>21</v>
      </c>
      <c r="B28" s="51">
        <v>41</v>
      </c>
      <c r="C28" s="84" t="s">
        <v>52</v>
      </c>
      <c r="D28" s="51">
        <v>1500</v>
      </c>
      <c r="E28" s="52">
        <v>0</v>
      </c>
      <c r="F28" s="52"/>
      <c r="G28" s="97" t="e">
        <f ca="1">Transfer(sammary[[#This Row],[رمز المادة]],transferTable[ر.م.مستورد],transferTable[ر.م.مصدر],transferTable[الكمية])</f>
        <v>#NAME?</v>
      </c>
      <c r="H28" s="53">
        <v>0</v>
      </c>
      <c r="I28" s="52"/>
      <c r="J28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8" s="54" t="e">
        <f ca="1">sammary[[#This Row],[اجمالى الكمية]]*sammary[[#This Row],[السعر]]</f>
        <v>#NAME?</v>
      </c>
      <c r="L28" s="55" t="e">
        <f ca="1">'عداد النازل'!U22</f>
        <v>#NAME?</v>
      </c>
      <c r="M28" s="53" t="e">
        <f ca="1">sammary[[#This Row],[نازل]]-sammary[[#This Row],[اجمالى الكمية]]</f>
        <v>#NAME?</v>
      </c>
      <c r="N28" s="52"/>
      <c r="O28" s="54">
        <f>sammary[[#This Row],[كمية المتبقى امس]]*sammary[[#This Row],[السعر]]</f>
        <v>0</v>
      </c>
      <c r="P28" s="52"/>
      <c r="Q28" s="54">
        <f>sammary[[#This Row],[كمية الوارد فروع]]*sammary[[#This Row],[السعر]]</f>
        <v>0</v>
      </c>
      <c r="R28" s="52"/>
      <c r="S28" s="56">
        <f>sammary[[#This Row],[كمية التلف اليومى]]*sammary[[#This Row],[السعر]]</f>
        <v>0</v>
      </c>
      <c r="T28" s="52">
        <v>0</v>
      </c>
      <c r="U28" s="54">
        <f>sammary[[#This Row],[كمية المبيعات اليومية]]*sammary[[#This Row],[السعر]]</f>
        <v>0</v>
      </c>
      <c r="V28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8" s="54" t="e">
        <f ca="1">sammary[[#This Row],[فرق الانتاج (المفقود)]]*sammary[[#This Row],[السعر]]</f>
        <v>#NAME?</v>
      </c>
      <c r="X28" s="52"/>
      <c r="Y28" s="54">
        <f>sammary[[#This Row],[متبقي انتاج اليوم]]*sammary[[#This Row],[السعر]]</f>
        <v>0</v>
      </c>
    </row>
    <row r="29" spans="1:25" s="3" customFormat="1" ht="20.100000000000001" customHeight="1">
      <c r="A29" s="57">
        <v>22</v>
      </c>
      <c r="B29" s="51">
        <v>42</v>
      </c>
      <c r="C29" s="84" t="s">
        <v>53</v>
      </c>
      <c r="D29" s="51">
        <v>3500</v>
      </c>
      <c r="E29" s="52">
        <v>0</v>
      </c>
      <c r="F29" s="52"/>
      <c r="G29" s="97" t="e">
        <f ca="1">Transfer(sammary[[#This Row],[رمز المادة]],transferTable[ر.م.مستورد],transferTable[ر.م.مصدر],transferTable[الكمية])</f>
        <v>#NAME?</v>
      </c>
      <c r="H29" s="53">
        <v>0</v>
      </c>
      <c r="I29" s="52"/>
      <c r="J29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29" s="54" t="e">
        <f ca="1">sammary[[#This Row],[اجمالى الكمية]]*sammary[[#This Row],[السعر]]</f>
        <v>#NAME?</v>
      </c>
      <c r="L29" s="55" t="e">
        <f ca="1">'عداد النازل'!U23</f>
        <v>#NAME?</v>
      </c>
      <c r="M29" s="53" t="e">
        <f ca="1">sammary[[#This Row],[نازل]]-sammary[[#This Row],[اجمالى الكمية]]</f>
        <v>#NAME?</v>
      </c>
      <c r="N29" s="52"/>
      <c r="O29" s="54">
        <f>sammary[[#This Row],[كمية المتبقى امس]]*sammary[[#This Row],[السعر]]</f>
        <v>0</v>
      </c>
      <c r="P29" s="52"/>
      <c r="Q29" s="54">
        <f>sammary[[#This Row],[كمية الوارد فروع]]*sammary[[#This Row],[السعر]]</f>
        <v>0</v>
      </c>
      <c r="R29" s="52"/>
      <c r="S29" s="56">
        <f>sammary[[#This Row],[كمية التلف اليومى]]*sammary[[#This Row],[السعر]]</f>
        <v>0</v>
      </c>
      <c r="T29" s="52">
        <v>0</v>
      </c>
      <c r="U29" s="54">
        <f>sammary[[#This Row],[كمية المبيعات اليومية]]*sammary[[#This Row],[السعر]]</f>
        <v>0</v>
      </c>
      <c r="V29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29" s="54" t="e">
        <f ca="1">sammary[[#This Row],[فرق الانتاج (المفقود)]]*sammary[[#This Row],[السعر]]</f>
        <v>#NAME?</v>
      </c>
      <c r="X29" s="52"/>
      <c r="Y29" s="54">
        <f>sammary[[#This Row],[متبقي انتاج اليوم]]*sammary[[#This Row],[السعر]]</f>
        <v>0</v>
      </c>
    </row>
    <row r="30" spans="1:25" s="3" customFormat="1" ht="20.100000000000001" customHeight="1">
      <c r="A30" s="51">
        <v>23</v>
      </c>
      <c r="B30" s="51">
        <v>81</v>
      </c>
      <c r="C30" s="84" t="s">
        <v>54</v>
      </c>
      <c r="D30" s="51">
        <v>800</v>
      </c>
      <c r="E30" s="52">
        <v>0</v>
      </c>
      <c r="F30" s="52"/>
      <c r="G30" s="97" t="e">
        <f ca="1">Transfer(sammary[[#This Row],[رمز المادة]],transferTable[ر.م.مستورد],transferTable[ر.م.مصدر],transferTable[الكمية])</f>
        <v>#NAME?</v>
      </c>
      <c r="H30" s="53">
        <v>0</v>
      </c>
      <c r="I30" s="52"/>
      <c r="J30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30" s="54" t="e">
        <f ca="1">sammary[[#This Row],[اجمالى الكمية]]*sammary[[#This Row],[السعر]]</f>
        <v>#NAME?</v>
      </c>
      <c r="L30" s="55" t="e">
        <f ca="1">'عداد النازل'!U24</f>
        <v>#NAME?</v>
      </c>
      <c r="M30" s="53" t="e">
        <f ca="1">sammary[[#This Row],[نازل]]-sammary[[#This Row],[اجمالى الكمية]]</f>
        <v>#NAME?</v>
      </c>
      <c r="N30" s="52"/>
      <c r="O30" s="54">
        <f>sammary[[#This Row],[كمية المتبقى امس]]*sammary[[#This Row],[السعر]]</f>
        <v>0</v>
      </c>
      <c r="P30" s="52">
        <v>250</v>
      </c>
      <c r="Q30" s="54">
        <f>sammary[[#This Row],[كمية الوارد فروع]]*sammary[[#This Row],[السعر]]</f>
        <v>200000</v>
      </c>
      <c r="R30" s="52"/>
      <c r="S30" s="56">
        <f>sammary[[#This Row],[كمية التلف اليومى]]*sammary[[#This Row],[السعر]]</f>
        <v>0</v>
      </c>
      <c r="T30" s="52">
        <v>239</v>
      </c>
      <c r="U30" s="54">
        <f>sammary[[#This Row],[كمية المبيعات اليومية]]*sammary[[#This Row],[السعر]]</f>
        <v>191200</v>
      </c>
      <c r="V30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30" s="54" t="e">
        <f ca="1">sammary[[#This Row],[فرق الانتاج (المفقود)]]*sammary[[#This Row],[السعر]]</f>
        <v>#NAME?</v>
      </c>
      <c r="X30" s="52"/>
      <c r="Y30" s="54">
        <f>sammary[[#This Row],[متبقي انتاج اليوم]]*sammary[[#This Row],[السعر]]</f>
        <v>0</v>
      </c>
    </row>
    <row r="31" spans="1:25" s="3" customFormat="1" ht="20.100000000000001" customHeight="1">
      <c r="A31" s="57">
        <v>24</v>
      </c>
      <c r="B31" s="51">
        <v>82</v>
      </c>
      <c r="C31" s="84" t="s">
        <v>55</v>
      </c>
      <c r="D31" s="51">
        <v>800</v>
      </c>
      <c r="E31" s="52">
        <v>0</v>
      </c>
      <c r="F31" s="52"/>
      <c r="G31" s="97" t="e">
        <f ca="1">Transfer(sammary[[#This Row],[رمز المادة]],transferTable[ر.م.مستورد],transferTable[ر.م.مصدر],transferTable[الكمية])</f>
        <v>#NAME?</v>
      </c>
      <c r="H31" s="53">
        <v>0</v>
      </c>
      <c r="I31" s="52"/>
      <c r="J31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31" s="54" t="e">
        <f ca="1">sammary[[#This Row],[اجمالى الكمية]]*sammary[[#This Row],[السعر]]</f>
        <v>#NAME?</v>
      </c>
      <c r="L31" s="55" t="e">
        <f ca="1">'عداد النازل'!U25</f>
        <v>#NAME?</v>
      </c>
      <c r="M31" s="53" t="e">
        <f ca="1">sammary[[#This Row],[نازل]]-sammary[[#This Row],[اجمالى الكمية]]</f>
        <v>#NAME?</v>
      </c>
      <c r="N31" s="52"/>
      <c r="O31" s="54">
        <f>sammary[[#This Row],[كمية المتبقى امس]]*sammary[[#This Row],[السعر]]</f>
        <v>0</v>
      </c>
      <c r="P31" s="52">
        <v>20</v>
      </c>
      <c r="Q31" s="54">
        <f>sammary[[#This Row],[كمية الوارد فروع]]*sammary[[#This Row],[السعر]]</f>
        <v>16000</v>
      </c>
      <c r="R31" s="52"/>
      <c r="S31" s="56">
        <f>sammary[[#This Row],[كمية التلف اليومى]]*sammary[[#This Row],[السعر]]</f>
        <v>0</v>
      </c>
      <c r="T31" s="52">
        <v>20</v>
      </c>
      <c r="U31" s="54">
        <f>sammary[[#This Row],[كمية المبيعات اليومية]]*sammary[[#This Row],[السعر]]</f>
        <v>16000</v>
      </c>
      <c r="V31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31" s="54" t="e">
        <f ca="1">sammary[[#This Row],[فرق الانتاج (المفقود)]]*sammary[[#This Row],[السعر]]</f>
        <v>#NAME?</v>
      </c>
      <c r="X31" s="52"/>
      <c r="Y31" s="54">
        <f>sammary[[#This Row],[متبقي انتاج اليوم]]*sammary[[#This Row],[السعر]]</f>
        <v>0</v>
      </c>
    </row>
    <row r="32" spans="1:25" s="3" customFormat="1" ht="20.100000000000001" customHeight="1">
      <c r="A32" s="51">
        <v>25</v>
      </c>
      <c r="B32" s="51">
        <v>11</v>
      </c>
      <c r="C32" s="84" t="s">
        <v>56</v>
      </c>
      <c r="D32" s="51">
        <v>450</v>
      </c>
      <c r="E32" s="52">
        <v>388</v>
      </c>
      <c r="F32" s="52">
        <v>231</v>
      </c>
      <c r="G32" s="97" t="e">
        <f ca="1">Transfer(sammary[[#This Row],[رمز المادة]],transferTable[ر.م.مستورد],transferTable[ر.م.مصدر],transferTable[الكمية])</f>
        <v>#NAME?</v>
      </c>
      <c r="H32" s="53">
        <v>1</v>
      </c>
      <c r="I32" s="52"/>
      <c r="J32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32" s="54" t="e">
        <f ca="1">sammary[[#This Row],[اجمالى الكمية]]*sammary[[#This Row],[السعر]]</f>
        <v>#NAME?</v>
      </c>
      <c r="L32" s="55" t="e">
        <f ca="1">'عداد النازل'!U26</f>
        <v>#NAME?</v>
      </c>
      <c r="M32" s="53" t="e">
        <f ca="1">sammary[[#This Row],[نازل]]-sammary[[#This Row],[اجمالى الكمية]]</f>
        <v>#NAME?</v>
      </c>
      <c r="N32" s="52"/>
      <c r="O32" s="54">
        <f>sammary[[#This Row],[كمية المتبقى امس]]*sammary[[#This Row],[السعر]]</f>
        <v>0</v>
      </c>
      <c r="P32" s="52"/>
      <c r="Q32" s="54">
        <f>sammary[[#This Row],[كمية الوارد فروع]]*sammary[[#This Row],[السعر]]</f>
        <v>0</v>
      </c>
      <c r="R32" s="52"/>
      <c r="S32" s="56">
        <f>sammary[[#This Row],[كمية التلف اليومى]]*sammary[[#This Row],[السعر]]</f>
        <v>0</v>
      </c>
      <c r="T32" s="52">
        <v>516</v>
      </c>
      <c r="U32" s="54">
        <f>sammary[[#This Row],[كمية المبيعات اليومية]]*sammary[[#This Row],[السعر]]</f>
        <v>232200</v>
      </c>
      <c r="V32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32" s="54" t="e">
        <f ca="1">sammary[[#This Row],[فرق الانتاج (المفقود)]]*sammary[[#This Row],[السعر]]</f>
        <v>#NAME?</v>
      </c>
      <c r="X32" s="52">
        <v>180</v>
      </c>
      <c r="Y32" s="54">
        <f>sammary[[#This Row],[متبقي انتاج اليوم]]*sammary[[#This Row],[السعر]]</f>
        <v>81000</v>
      </c>
    </row>
    <row r="33" spans="1:30" s="3" customFormat="1" ht="20.100000000000001" customHeight="1">
      <c r="A33" s="57">
        <v>26</v>
      </c>
      <c r="B33" s="51">
        <v>9</v>
      </c>
      <c r="C33" s="84" t="s">
        <v>57</v>
      </c>
      <c r="D33" s="51">
        <v>1500</v>
      </c>
      <c r="E33" s="52">
        <v>0</v>
      </c>
      <c r="F33" s="52"/>
      <c r="G33" s="97" t="e">
        <f ca="1">Transfer(sammary[[#This Row],[رمز المادة]],transferTable[ر.م.مستورد],transferTable[ر.م.مصدر],transferTable[الكمية])</f>
        <v>#NAME?</v>
      </c>
      <c r="H33" s="53">
        <v>0</v>
      </c>
      <c r="I33" s="52"/>
      <c r="J33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33" s="54" t="e">
        <f ca="1">sammary[[#This Row],[اجمالى الكمية]]*sammary[[#This Row],[السعر]]</f>
        <v>#NAME?</v>
      </c>
      <c r="L33" s="55" t="e">
        <f ca="1">'عداد النازل'!U27</f>
        <v>#NAME?</v>
      </c>
      <c r="M33" s="53" t="e">
        <f ca="1">sammary[[#This Row],[نازل]]-sammary[[#This Row],[اجمالى الكمية]]</f>
        <v>#NAME?</v>
      </c>
      <c r="N33" s="52"/>
      <c r="O33" s="54">
        <f>sammary[[#This Row],[كمية المتبقى امس]]*sammary[[#This Row],[السعر]]</f>
        <v>0</v>
      </c>
      <c r="P33" s="52"/>
      <c r="Q33" s="54">
        <f>sammary[[#This Row],[كمية الوارد فروع]]*sammary[[#This Row],[السعر]]</f>
        <v>0</v>
      </c>
      <c r="R33" s="52"/>
      <c r="S33" s="56">
        <f>sammary[[#This Row],[كمية التلف اليومى]]*sammary[[#This Row],[السعر]]</f>
        <v>0</v>
      </c>
      <c r="T33" s="52">
        <v>0</v>
      </c>
      <c r="U33" s="54">
        <f>sammary[[#This Row],[كمية المبيعات اليومية]]*sammary[[#This Row],[السعر]]</f>
        <v>0</v>
      </c>
      <c r="V33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33" s="54" t="e">
        <f ca="1">sammary[[#This Row],[فرق الانتاج (المفقود)]]*sammary[[#This Row],[السعر]]</f>
        <v>#NAME?</v>
      </c>
      <c r="X33" s="52"/>
      <c r="Y33" s="54">
        <f>sammary[[#This Row],[متبقي انتاج اليوم]]*sammary[[#This Row],[السعر]]</f>
        <v>0</v>
      </c>
    </row>
    <row r="34" spans="1:30" s="3" customFormat="1" ht="20.100000000000001" customHeight="1">
      <c r="A34" s="51">
        <v>27</v>
      </c>
      <c r="B34" s="51">
        <v>92</v>
      </c>
      <c r="C34" s="84" t="s">
        <v>58</v>
      </c>
      <c r="D34" s="51">
        <v>400</v>
      </c>
      <c r="E34" s="52">
        <v>0</v>
      </c>
      <c r="F34" s="52"/>
      <c r="G34" s="97" t="e">
        <f ca="1">Transfer(sammary[[#This Row],[رمز المادة]],transferTable[ر.م.مستورد],transferTable[ر.م.مصدر],transferTable[الكمية])</f>
        <v>#NAME?</v>
      </c>
      <c r="H34" s="53">
        <v>0</v>
      </c>
      <c r="I34" s="52"/>
      <c r="J34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34" s="54" t="e">
        <f ca="1">sammary[[#This Row],[اجمالى الكمية]]*sammary[[#This Row],[السعر]]</f>
        <v>#NAME?</v>
      </c>
      <c r="L34" s="55" t="e">
        <f ca="1">'عداد النازل'!U28</f>
        <v>#NAME?</v>
      </c>
      <c r="M34" s="53" t="e">
        <f ca="1">sammary[[#This Row],[نازل]]-sammary[[#This Row],[اجمالى الكمية]]</f>
        <v>#NAME?</v>
      </c>
      <c r="N34" s="52"/>
      <c r="O34" s="54">
        <f>sammary[[#This Row],[كمية المتبقى امس]]*sammary[[#This Row],[السعر]]</f>
        <v>0</v>
      </c>
      <c r="P34" s="52"/>
      <c r="Q34" s="54">
        <f>sammary[[#This Row],[كمية الوارد فروع]]*sammary[[#This Row],[السعر]]</f>
        <v>0</v>
      </c>
      <c r="R34" s="52"/>
      <c r="S34" s="56">
        <f>sammary[[#This Row],[كمية التلف اليومى]]*sammary[[#This Row],[السعر]]</f>
        <v>0</v>
      </c>
      <c r="T34" s="52">
        <v>0</v>
      </c>
      <c r="U34" s="54">
        <f>sammary[[#This Row],[كمية المبيعات اليومية]]*sammary[[#This Row],[السعر]]</f>
        <v>0</v>
      </c>
      <c r="V34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34" s="54" t="e">
        <f ca="1">sammary[[#This Row],[فرق الانتاج (المفقود)]]*sammary[[#This Row],[السعر]]</f>
        <v>#NAME?</v>
      </c>
      <c r="X34" s="52"/>
      <c r="Y34" s="54">
        <f>sammary[[#This Row],[متبقي انتاج اليوم]]*sammary[[#This Row],[السعر]]</f>
        <v>0</v>
      </c>
    </row>
    <row r="35" spans="1:30" s="3" customFormat="1" ht="20.100000000000001" customHeight="1">
      <c r="A35" s="57">
        <v>28</v>
      </c>
      <c r="B35" s="51">
        <v>139</v>
      </c>
      <c r="C35" s="84" t="s">
        <v>59</v>
      </c>
      <c r="D35" s="51">
        <v>500</v>
      </c>
      <c r="E35" s="52">
        <v>0</v>
      </c>
      <c r="F35" s="52"/>
      <c r="G35" s="97" t="e">
        <f ca="1">Transfer(sammary[[#This Row],[رمز المادة]],transferTable[ر.م.مستورد],transferTable[ر.م.مصدر],transferTable[الكمية])</f>
        <v>#NAME?</v>
      </c>
      <c r="H35" s="53">
        <v>0</v>
      </c>
      <c r="I35" s="52"/>
      <c r="J35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35" s="54" t="e">
        <f ca="1">sammary[[#This Row],[اجمالى الكمية]]*sammary[[#This Row],[السعر]]</f>
        <v>#NAME?</v>
      </c>
      <c r="L35" s="55" t="e">
        <f ca="1">'عداد النازل'!U29</f>
        <v>#NAME?</v>
      </c>
      <c r="M35" s="53" t="e">
        <f ca="1">sammary[[#This Row],[نازل]]-sammary[[#This Row],[اجمالى الكمية]]</f>
        <v>#NAME?</v>
      </c>
      <c r="N35" s="52"/>
      <c r="O35" s="54">
        <f>sammary[[#This Row],[كمية المتبقى امس]]*sammary[[#This Row],[السعر]]</f>
        <v>0</v>
      </c>
      <c r="P35" s="52"/>
      <c r="Q35" s="54">
        <f>sammary[[#This Row],[كمية الوارد فروع]]*sammary[[#This Row],[السعر]]</f>
        <v>0</v>
      </c>
      <c r="R35" s="52"/>
      <c r="S35" s="56">
        <f>sammary[[#This Row],[كمية التلف اليومى]]*sammary[[#This Row],[السعر]]</f>
        <v>0</v>
      </c>
      <c r="T35" s="52">
        <v>0</v>
      </c>
      <c r="U35" s="54">
        <f>sammary[[#This Row],[كمية المبيعات اليومية]]*sammary[[#This Row],[السعر]]</f>
        <v>0</v>
      </c>
      <c r="V35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35" s="54" t="e">
        <f ca="1">sammary[[#This Row],[فرق الانتاج (المفقود)]]*sammary[[#This Row],[السعر]]</f>
        <v>#NAME?</v>
      </c>
      <c r="X35" s="52"/>
      <c r="Y35" s="54">
        <f>sammary[[#This Row],[متبقي انتاج اليوم]]*sammary[[#This Row],[السعر]]</f>
        <v>0</v>
      </c>
    </row>
    <row r="36" spans="1:30" s="3" customFormat="1" ht="20.100000000000001" customHeight="1">
      <c r="A36" s="51">
        <v>29</v>
      </c>
      <c r="B36" s="51">
        <v>49</v>
      </c>
      <c r="C36" s="84" t="s">
        <v>60</v>
      </c>
      <c r="D36" s="51">
        <v>2000</v>
      </c>
      <c r="E36" s="52">
        <v>0</v>
      </c>
      <c r="F36" s="52"/>
      <c r="G36" s="97" t="e">
        <f ca="1">Transfer(sammary[[#This Row],[رمز المادة]],transferTable[ر.م.مستورد],transferTable[ر.م.مصدر],transferTable[الكمية])</f>
        <v>#NAME?</v>
      </c>
      <c r="H36" s="53">
        <v>0</v>
      </c>
      <c r="I36" s="52"/>
      <c r="J36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36" s="54" t="e">
        <f ca="1">sammary[[#This Row],[اجمالى الكمية]]*sammary[[#This Row],[السعر]]</f>
        <v>#NAME?</v>
      </c>
      <c r="L36" s="55" t="e">
        <f ca="1">'عداد النازل'!U30</f>
        <v>#NAME?</v>
      </c>
      <c r="M36" s="53" t="e">
        <f ca="1">sammary[[#This Row],[نازل]]-sammary[[#This Row],[اجمالى الكمية]]</f>
        <v>#NAME?</v>
      </c>
      <c r="N36" s="52"/>
      <c r="O36" s="54">
        <f>sammary[[#This Row],[كمية المتبقى امس]]*sammary[[#This Row],[السعر]]</f>
        <v>0</v>
      </c>
      <c r="P36" s="52"/>
      <c r="Q36" s="54">
        <f>sammary[[#This Row],[كمية الوارد فروع]]*sammary[[#This Row],[السعر]]</f>
        <v>0</v>
      </c>
      <c r="R36" s="52"/>
      <c r="S36" s="56">
        <f>sammary[[#This Row],[كمية التلف اليومى]]*sammary[[#This Row],[السعر]]</f>
        <v>0</v>
      </c>
      <c r="T36" s="52">
        <v>0</v>
      </c>
      <c r="U36" s="54">
        <f>sammary[[#This Row],[كمية المبيعات اليومية]]*sammary[[#This Row],[السعر]]</f>
        <v>0</v>
      </c>
      <c r="V36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36" s="54" t="e">
        <f ca="1">sammary[[#This Row],[فرق الانتاج (المفقود)]]*sammary[[#This Row],[السعر]]</f>
        <v>#NAME?</v>
      </c>
      <c r="X36" s="52"/>
      <c r="Y36" s="54">
        <f>sammary[[#This Row],[متبقي انتاج اليوم]]*sammary[[#This Row],[السعر]]</f>
        <v>0</v>
      </c>
    </row>
    <row r="37" spans="1:30" s="3" customFormat="1" ht="20.100000000000001" customHeight="1">
      <c r="A37" s="57">
        <v>30</v>
      </c>
      <c r="B37" s="51">
        <v>269</v>
      </c>
      <c r="C37" s="84" t="s">
        <v>61</v>
      </c>
      <c r="D37" s="51">
        <v>350</v>
      </c>
      <c r="E37" s="52">
        <v>0</v>
      </c>
      <c r="F37" s="52"/>
      <c r="G37" s="97" t="e">
        <f ca="1">Transfer(sammary[[#This Row],[رمز المادة]],transferTable[ر.م.مستورد],transferTable[ر.م.مصدر],transferTable[الكمية])</f>
        <v>#NAME?</v>
      </c>
      <c r="H37" s="53">
        <v>0</v>
      </c>
      <c r="I37" s="52"/>
      <c r="J37" s="53" t="e">
        <f ca="1">SUM(sammary[[#This Row],[شفت المسائي]:[المناقلات]])-SUM(sammary[[#This Row],[نقص الصواني بعد الخبز]:[اكل عمال]])-sammary[[#This Row],[كمية التلف اليومى]]</f>
        <v>#NAME?</v>
      </c>
      <c r="K37" s="54" t="e">
        <f ca="1">sammary[[#This Row],[اجمالى الكمية]]*sammary[[#This Row],[السعر]]</f>
        <v>#NAME?</v>
      </c>
      <c r="L37" s="55" t="e">
        <f ca="1">'عداد النازل'!U31</f>
        <v>#NAME?</v>
      </c>
      <c r="M37" s="53" t="e">
        <f ca="1">sammary[[#This Row],[نازل]]-sammary[[#This Row],[اجمالى الكمية]]</f>
        <v>#NAME?</v>
      </c>
      <c r="N37" s="52"/>
      <c r="O37" s="54">
        <f>sammary[[#This Row],[كمية المتبقى امس]]*sammary[[#This Row],[السعر]]</f>
        <v>0</v>
      </c>
      <c r="P37" s="52"/>
      <c r="Q37" s="54">
        <f>sammary[[#This Row],[كمية الوارد فروع]]*sammary[[#This Row],[السعر]]</f>
        <v>0</v>
      </c>
      <c r="R37" s="52"/>
      <c r="S37" s="56">
        <f>sammary[[#This Row],[كمية التلف اليومى]]*sammary[[#This Row],[السعر]]</f>
        <v>0</v>
      </c>
      <c r="T37" s="52">
        <v>0</v>
      </c>
      <c r="U37" s="54">
        <f>sammary[[#This Row],[كمية المبيعات اليومية]]*sammary[[#This Row],[السعر]]</f>
        <v>0</v>
      </c>
      <c r="V37" s="52" t="e">
        <f ca="1">(sammary[[#This Row],[اجمالى الكمية]]+sammary[[#This Row],[كمية المتبقى امس]]+sammary[[#This Row],[كمية الوارد فروع]])-(sammary[[#This Row],[كمية المبيعات اليومية]]+sammary[[#This Row],[متبقي انتاج اليوم]])</f>
        <v>#NAME?</v>
      </c>
      <c r="W37" s="54" t="e">
        <f ca="1">sammary[[#This Row],[فرق الانتاج (المفقود)]]*sammary[[#This Row],[السعر]]</f>
        <v>#NAME?</v>
      </c>
      <c r="X37" s="52"/>
      <c r="Y37" s="54">
        <f>sammary[[#This Row],[متبقي انتاج اليوم]]*sammary[[#This Row],[السعر]]</f>
        <v>0</v>
      </c>
    </row>
    <row r="38" spans="1:30" s="3" customFormat="1" ht="20.100000000000001" customHeight="1">
      <c r="A38" s="138" t="s">
        <v>73</v>
      </c>
      <c r="B38" s="138"/>
      <c r="C38" s="138"/>
      <c r="D38" s="138"/>
      <c r="E38" s="138"/>
      <c r="F38" s="138"/>
      <c r="G38" s="138"/>
      <c r="H38" s="138"/>
      <c r="I38" s="138"/>
      <c r="J38" s="138"/>
      <c r="K38" s="71" t="e">
        <f ca="1">SUBTOTAL(109,sammary[قيمة الانتاج اليومى])</f>
        <v>#NAME?</v>
      </c>
      <c r="L38" s="72"/>
      <c r="M38" s="72"/>
      <c r="N38" s="68"/>
      <c r="O38" s="71">
        <f>SUBTOTAL(109,sammary[قيمة المتبقى امس])</f>
        <v>178250</v>
      </c>
      <c r="P38" s="68"/>
      <c r="Q38" s="72">
        <f>SUBTOTAL(109,sammary[قيمة الوارد فروع])</f>
        <v>227500</v>
      </c>
      <c r="R38" s="68"/>
      <c r="S38" s="86">
        <f>SUBTOTAL(109,sammary[قيمة التلف اليومى])</f>
        <v>0</v>
      </c>
      <c r="T38" s="70"/>
      <c r="U38" s="69">
        <f>SUBTOTAL(109,sammary[قيمة المبيعات اليومية])</f>
        <v>17138310</v>
      </c>
      <c r="V38" s="70"/>
      <c r="W38" s="86" t="e">
        <f ca="1">SUBTOTAL(109,sammary[قيمة فرق الانتاج])</f>
        <v>#NAME?</v>
      </c>
      <c r="X38" s="70"/>
      <c r="Y38" s="69">
        <f>SUBTOTAL(109,sammary[قيمة متبقى انتاج اليوم])</f>
        <v>485100</v>
      </c>
      <c r="AC38" s="100"/>
      <c r="AD38" s="100"/>
    </row>
    <row r="39" spans="1:30" ht="12.75">
      <c r="J39" s="4"/>
      <c r="W39" s="1" t="s">
        <v>123</v>
      </c>
      <c r="AB39" s="100"/>
      <c r="AC39" s="100"/>
    </row>
    <row r="40" spans="1:30">
      <c r="X40" s="1" t="s">
        <v>123</v>
      </c>
    </row>
    <row r="41" spans="1:30">
      <c r="X41" s="1" t="s">
        <v>123</v>
      </c>
    </row>
    <row r="42" spans="1:30">
      <c r="W42" s="1" t="s">
        <v>123</v>
      </c>
    </row>
    <row r="43" spans="1:30">
      <c r="W43" s="1" t="s">
        <v>123</v>
      </c>
    </row>
    <row r="44" spans="1:30">
      <c r="W44" s="1" t="s">
        <v>123</v>
      </c>
    </row>
    <row r="45" spans="1:30">
      <c r="W45" s="1" t="s">
        <v>123</v>
      </c>
    </row>
    <row r="46" spans="1:30">
      <c r="W46" s="1" t="s">
        <v>123</v>
      </c>
    </row>
    <row r="47" spans="1:30">
      <c r="W47" s="1" t="s">
        <v>123</v>
      </c>
    </row>
    <row r="48" spans="1:30">
      <c r="W48" s="1" t="s">
        <v>123</v>
      </c>
    </row>
    <row r="49" spans="23:24">
      <c r="W49" s="1" t="s">
        <v>123</v>
      </c>
    </row>
    <row r="50" spans="23:24">
      <c r="X50" s="1" t="s">
        <v>123</v>
      </c>
    </row>
    <row r="51" spans="23:24">
      <c r="X51" s="1" t="s">
        <v>123</v>
      </c>
    </row>
    <row r="52" spans="23:24">
      <c r="X52" s="1" t="s">
        <v>123</v>
      </c>
    </row>
    <row r="53" spans="23:24">
      <c r="X53" s="1" t="s">
        <v>123</v>
      </c>
    </row>
    <row r="54" spans="23:24">
      <c r="X54" s="1" t="s">
        <v>123</v>
      </c>
    </row>
    <row r="55" spans="23:24">
      <c r="X55" s="1" t="s">
        <v>123</v>
      </c>
    </row>
    <row r="56" spans="23:24">
      <c r="X56" s="1" t="s">
        <v>123</v>
      </c>
    </row>
    <row r="57" spans="23:24">
      <c r="X57" s="1" t="s">
        <v>123</v>
      </c>
    </row>
    <row r="58" spans="23:24">
      <c r="X58" s="1" t="s">
        <v>123</v>
      </c>
    </row>
    <row r="59" spans="23:24">
      <c r="X59" s="1" t="s">
        <v>123</v>
      </c>
    </row>
    <row r="60" spans="23:24">
      <c r="X60" s="1" t="s">
        <v>123</v>
      </c>
    </row>
    <row r="61" spans="23:24">
      <c r="X61" s="1" t="s">
        <v>123</v>
      </c>
    </row>
    <row r="62" spans="23:24">
      <c r="X62" s="1" t="s">
        <v>123</v>
      </c>
    </row>
    <row r="63" spans="23:24">
      <c r="X63" s="1" t="s">
        <v>123</v>
      </c>
    </row>
    <row r="64" spans="23:24">
      <c r="X64" s="1" t="s">
        <v>123</v>
      </c>
    </row>
    <row r="65" spans="24:24">
      <c r="X65" s="1" t="s">
        <v>123</v>
      </c>
    </row>
    <row r="66" spans="24:24">
      <c r="X66" s="1" t="s">
        <v>123</v>
      </c>
    </row>
    <row r="67" spans="24:24">
      <c r="X67" s="1" t="s">
        <v>123</v>
      </c>
    </row>
    <row r="68" spans="24:24">
      <c r="X68" s="1" t="s">
        <v>123</v>
      </c>
    </row>
    <row r="69" spans="24:24">
      <c r="X69" s="1" t="s">
        <v>123</v>
      </c>
    </row>
    <row r="70" spans="24:24">
      <c r="X70" s="1" t="s">
        <v>123</v>
      </c>
    </row>
    <row r="71" spans="24:24">
      <c r="X71" s="1" t="s">
        <v>123</v>
      </c>
    </row>
    <row r="72" spans="24:24">
      <c r="X72" s="1" t="s">
        <v>123</v>
      </c>
    </row>
    <row r="73" spans="24:24">
      <c r="X73" s="1" t="s">
        <v>123</v>
      </c>
    </row>
    <row r="74" spans="24:24">
      <c r="X74" s="1" t="s">
        <v>123</v>
      </c>
    </row>
    <row r="75" spans="24:24">
      <c r="X75" s="1" t="s">
        <v>123</v>
      </c>
    </row>
    <row r="76" spans="24:24">
      <c r="X76" s="1" t="s">
        <v>123</v>
      </c>
    </row>
    <row r="77" spans="24:24">
      <c r="X77" s="1" t="s">
        <v>123</v>
      </c>
    </row>
    <row r="78" spans="24:24">
      <c r="X78" s="1" t="s">
        <v>123</v>
      </c>
    </row>
    <row r="79" spans="24:24">
      <c r="X79" s="1" t="s">
        <v>123</v>
      </c>
    </row>
    <row r="80" spans="24:24">
      <c r="X80" s="1" t="s">
        <v>123</v>
      </c>
    </row>
    <row r="81" spans="24:24">
      <c r="X81" s="1" t="s">
        <v>123</v>
      </c>
    </row>
    <row r="82" spans="24:24">
      <c r="X82" s="1" t="s">
        <v>123</v>
      </c>
    </row>
    <row r="83" spans="24:24">
      <c r="X83" s="1" t="s">
        <v>123</v>
      </c>
    </row>
    <row r="84" spans="24:24">
      <c r="X84" s="1" t="s">
        <v>123</v>
      </c>
    </row>
    <row r="85" spans="24:24">
      <c r="X85" s="1" t="s">
        <v>123</v>
      </c>
    </row>
    <row r="86" spans="24:24">
      <c r="X86" s="1" t="s">
        <v>123</v>
      </c>
    </row>
  </sheetData>
  <mergeCells count="20">
    <mergeCell ref="A38:J38"/>
    <mergeCell ref="A4:C4"/>
    <mergeCell ref="A5:C5"/>
    <mergeCell ref="A6:D6"/>
    <mergeCell ref="X6:Y6"/>
    <mergeCell ref="P6:Q6"/>
    <mergeCell ref="R6:S6"/>
    <mergeCell ref="T6:U6"/>
    <mergeCell ref="V6:W6"/>
    <mergeCell ref="E6:M6"/>
    <mergeCell ref="N6:O6"/>
    <mergeCell ref="A1:C1"/>
    <mergeCell ref="A2:C2"/>
    <mergeCell ref="A3:C3"/>
    <mergeCell ref="X1:Y2"/>
    <mergeCell ref="X3:Y5"/>
    <mergeCell ref="W1:W2"/>
    <mergeCell ref="W3:W5"/>
    <mergeCell ref="E1:V2"/>
    <mergeCell ref="E3:V5"/>
  </mergeCells>
  <conditionalFormatting sqref="G8:G37">
    <cfRule type="cellIs" dxfId="2" priority="2" operator="notEqual">
      <formula>0</formula>
    </cfRule>
  </conditionalFormatting>
  <conditionalFormatting sqref="S8:S37">
    <cfRule type="cellIs" dxfId="1" priority="3" operator="lessThan">
      <formula>8000</formula>
    </cfRule>
    <cfRule type="cellIs" dxfId="0" priority="4" operator="greaterThan">
      <formula>8000</formula>
    </cfRule>
  </conditionalFormatting>
  <conditionalFormatting sqref="V8:V37">
    <cfRule type="colorScale" priority="1">
      <colorScale>
        <cfvo type="num" val="50"/>
        <cfvo type="num" val="150"/>
        <color theme="9"/>
        <color rgb="FFFF5050"/>
      </colorScale>
    </cfRule>
  </conditionalFormatting>
  <pageMargins left="0.7" right="0.7" top="0.75" bottom="0.75" header="0.3" footer="0.3"/>
  <pageSetup paperSize="9" scale="47" orientation="landscape" r:id="rId1"/>
  <rowBreaks count="1" manualBreakCount="1">
    <brk id="10" max="23" man="1"/>
  </rowBreaks>
  <colBreaks count="1" manualBreakCount="1">
    <brk id="21" max="37" man="1"/>
  </colBreaks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9145-DA0F-4BD2-8BF6-616FB5D0D213}">
  <sheetPr codeName="Sheet2">
    <pageSetUpPr fitToPage="1"/>
  </sheetPr>
  <dimension ref="A1:G11"/>
  <sheetViews>
    <sheetView rightToLeft="1" view="pageBreakPreview" zoomScale="200" zoomScaleNormal="100" zoomScaleSheetLayoutView="200" workbookViewId="0">
      <selection activeCell="F8" sqref="F8"/>
    </sheetView>
  </sheetViews>
  <sheetFormatPr defaultColWidth="10.7109375" defaultRowHeight="20.100000000000001" customHeight="1"/>
  <cols>
    <col min="1" max="2" width="10.7109375" style="82"/>
    <col min="3" max="3" width="20.7109375" style="82" customWidth="1"/>
    <col min="4" max="4" width="10.7109375" style="82"/>
    <col min="5" max="5" width="20.7109375" style="82" customWidth="1"/>
    <col min="6" max="6" width="10.7109375" style="82"/>
    <col min="7" max="7" width="40.7109375" style="82" customWidth="1"/>
    <col min="8" max="16384" width="10.7109375" style="82"/>
  </cols>
  <sheetData>
    <row r="1" spans="1:7" s="78" customFormat="1" ht="20.100000000000001" customHeight="1">
      <c r="A1" s="75" t="s">
        <v>0</v>
      </c>
      <c r="B1" s="76" t="s">
        <v>82</v>
      </c>
      <c r="C1" s="76" t="s">
        <v>79</v>
      </c>
      <c r="D1" s="76" t="s">
        <v>83</v>
      </c>
      <c r="E1" s="76" t="s">
        <v>81</v>
      </c>
      <c r="F1" s="77" t="s">
        <v>80</v>
      </c>
      <c r="G1" s="76" t="s">
        <v>125</v>
      </c>
    </row>
    <row r="2" spans="1:7" ht="20.100000000000001" customHeight="1">
      <c r="A2" s="79"/>
      <c r="B2" s="80">
        <v>131</v>
      </c>
      <c r="C2" s="85" t="str">
        <f>IF(transferTable[[#This Row],[ر.م.مصدر]]&lt;&gt;"",VLOOKUP(transferTable[[#This Row],[ر.م.مصدر]],sammary[[رمز المادة]:[اسم المادة]],2,FALSE),"")</f>
        <v>بركر 13 عادي</v>
      </c>
      <c r="D2" s="80">
        <v>101</v>
      </c>
      <c r="E2" s="85" t="str">
        <f>IF(transferTable[[#This Row],[ر.م.مستورد]]&lt;&gt;"",VLOOKUP(transferTable[[#This Row],[ر.م.مستورد]],sammary[[رمز المادة]:[اسم المادة]],2,FALSE),"")</f>
        <v>بركر 10 عادي</v>
      </c>
      <c r="F2" s="81">
        <v>16</v>
      </c>
      <c r="G2" s="96"/>
    </row>
    <row r="3" spans="1:7" ht="20.100000000000001" customHeight="1">
      <c r="A3" s="79"/>
      <c r="B3" s="80">
        <v>262</v>
      </c>
      <c r="C3" s="85" t="str">
        <f>IF(transferTable[[#This Row],[ر.م.مصدر]]&lt;&gt;"",VLOOKUP(transferTable[[#This Row],[ر.م.مصدر]],sammary[[رمز المادة]:[اسم المادة]],2,FALSE),"")</f>
        <v>فلر 26 بوليش</v>
      </c>
      <c r="D3" s="80">
        <v>263</v>
      </c>
      <c r="E3" s="85" t="str">
        <f>IF(transferTable[[#This Row],[ر.م.مستورد]]&lt;&gt;"",VLOOKUP(transferTable[[#This Row],[ر.م.مستورد]],sammary[[رمز المادة]:[اسم المادة]],2,FALSE),"")</f>
        <v>فلر 26 سميد</v>
      </c>
      <c r="F3" s="81">
        <v>20</v>
      </c>
      <c r="G3" s="96"/>
    </row>
    <row r="4" spans="1:7" ht="20.100000000000001" customHeight="1">
      <c r="A4" s="79"/>
      <c r="B4" s="80">
        <v>262</v>
      </c>
      <c r="C4" s="85" t="str">
        <f>IF(transferTable[[#This Row],[ر.م.مصدر]]&lt;&gt;"",VLOOKUP(transferTable[[#This Row],[ر.م.مصدر]],sammary[[رمز المادة]:[اسم المادة]],2,FALSE),"")</f>
        <v>فلر 26 بوليش</v>
      </c>
      <c r="D4" s="84">
        <v>261</v>
      </c>
      <c r="E4" s="85" t="str">
        <f>IF(transferTable[[#This Row],[ر.م.مستورد]]&lt;&gt;"",VLOOKUP(transferTable[[#This Row],[ر.م.مستورد]],sammary[[رمز المادة]:[اسم المادة]],2,FALSE),"")</f>
        <v>فلر 26 عادي</v>
      </c>
      <c r="F4" s="101">
        <v>58</v>
      </c>
      <c r="G4" s="96"/>
    </row>
    <row r="5" spans="1:7" ht="20.100000000000001" customHeight="1">
      <c r="A5" s="79"/>
      <c r="B5" s="80">
        <v>301</v>
      </c>
      <c r="C5" s="85" t="str">
        <f>IF(transferTable[[#This Row],[ر.م.مصدر]]&lt;&gt;"",VLOOKUP(transferTable[[#This Row],[ر.م.مصدر]],sammary[[رمز المادة]:[اسم المادة]],2,FALSE),"")</f>
        <v>سابوي</v>
      </c>
      <c r="D5" s="80">
        <v>302</v>
      </c>
      <c r="E5" s="85" t="str">
        <f>IF(transferTable[[#This Row],[ر.م.مستورد]]&lt;&gt;"",VLOOKUP(transferTable[[#This Row],[ر.م.مستورد]],sammary[[رمز المادة]:[اسم المادة]],2,FALSE),"")</f>
        <v>سابوي بوليش</v>
      </c>
      <c r="F5" s="81">
        <v>1630</v>
      </c>
      <c r="G5" s="96"/>
    </row>
    <row r="6" spans="1:7" ht="20.100000000000001" customHeight="1">
      <c r="A6" s="79"/>
      <c r="B6" s="80">
        <v>143</v>
      </c>
      <c r="C6" s="85" t="str">
        <f>IF(transferTable[[#This Row],[ر.م.مصدر]]&lt;&gt;"",VLOOKUP(transferTable[[#This Row],[ر.م.مصدر]],sammary[[رمز المادة]:[اسم المادة]],2,FALSE),"")</f>
        <v>بركر 14 بطاطا</v>
      </c>
      <c r="D6" s="80">
        <v>133</v>
      </c>
      <c r="E6" s="85" t="str">
        <f>IF(transferTable[[#This Row],[ر.م.مستورد]]&lt;&gt;"",VLOOKUP(transferTable[[#This Row],[ر.م.مستورد]],sammary[[رمز المادة]:[اسم المادة]],2,FALSE),"")</f>
        <v>بركر 13 بطاطا</v>
      </c>
      <c r="F6" s="81">
        <v>16</v>
      </c>
      <c r="G6" s="96"/>
    </row>
    <row r="7" spans="1:7" ht="20.100000000000001" customHeight="1">
      <c r="A7" s="79"/>
      <c r="B7" s="80">
        <v>131</v>
      </c>
      <c r="C7" s="85" t="str">
        <f>IF(transferTable[[#This Row],[ر.م.مصدر]]&lt;&gt;"",VLOOKUP(transferTable[[#This Row],[ر.م.مصدر]],sammary[[رمز المادة]:[اسم المادة]],2,FALSE),"")</f>
        <v>بركر 13 عادي</v>
      </c>
      <c r="D7" s="80">
        <v>11</v>
      </c>
      <c r="E7" s="85" t="str">
        <f>IF(transferTable[[#This Row],[ر.م.مستورد]]&lt;&gt;"",VLOOKUP(transferTable[[#This Row],[ر.م.مستورد]],sammary[[رمز المادة]:[اسم المادة]],2,FALSE),"")</f>
        <v>بركر 11</v>
      </c>
      <c r="F7" s="81">
        <v>68</v>
      </c>
      <c r="G7" s="96"/>
    </row>
    <row r="8" spans="1:7" ht="20.100000000000001" customHeight="1">
      <c r="A8" s="79"/>
      <c r="B8" s="80"/>
      <c r="C8" s="85" t="str">
        <f>IF(transferTable[[#This Row],[ر.م.مصدر]]&lt;&gt;"",VLOOKUP(transferTable[[#This Row],[ر.م.مصدر]],sammary[[رمز المادة]:[اسم المادة]],2,FALSE),"")</f>
        <v/>
      </c>
      <c r="D8" s="80"/>
      <c r="E8" s="85" t="str">
        <f>IF(transferTable[[#This Row],[ر.م.مستورد]]&lt;&gt;"",VLOOKUP(transferTable[[#This Row],[ر.م.مستورد]],sammary[[رمز المادة]:[اسم المادة]],2,FALSE),"")</f>
        <v/>
      </c>
      <c r="F8" s="81"/>
      <c r="G8" s="96"/>
    </row>
    <row r="9" spans="1:7" ht="20.100000000000001" customHeight="1">
      <c r="A9" s="79"/>
      <c r="B9" s="80"/>
      <c r="C9" s="85" t="str">
        <f>IF(transferTable[[#This Row],[ر.م.مصدر]]&lt;&gt;"",VLOOKUP(transferTable[[#This Row],[ر.م.مصدر]],sammary[[رمز المادة]:[اسم المادة]],2,FALSE),"")</f>
        <v/>
      </c>
      <c r="D9" s="80"/>
      <c r="E9" s="85" t="str">
        <f>IF(transferTable[[#This Row],[ر.م.مستورد]]&lt;&gt;"",VLOOKUP(transferTable[[#This Row],[ر.م.مستورد]],sammary[[رمز المادة]:[اسم المادة]],2,FALSE),"")</f>
        <v/>
      </c>
      <c r="F9" s="81"/>
      <c r="G9" s="96"/>
    </row>
    <row r="10" spans="1:7" ht="20.100000000000001" customHeight="1">
      <c r="A10" s="79"/>
      <c r="B10" s="80"/>
      <c r="C10" s="85" t="str">
        <f>IF(transferTable[[#This Row],[ر.م.مصدر]]&lt;&gt;"",VLOOKUP(transferTable[[#This Row],[ر.م.مصدر]],sammary[[رمز المادة]:[اسم المادة]],2,FALSE),"")</f>
        <v/>
      </c>
      <c r="D10" s="80"/>
      <c r="E10" s="85" t="str">
        <f>IF(transferTable[[#This Row],[ر.م.مستورد]]&lt;&gt;"",VLOOKUP(transferTable[[#This Row],[ر.م.مستورد]],sammary[[رمز المادة]:[اسم المادة]],2,FALSE),"")</f>
        <v/>
      </c>
      <c r="F10" s="81"/>
      <c r="G10" s="96"/>
    </row>
    <row r="11" spans="1:7" ht="20.100000000000001" customHeight="1">
      <c r="A11" s="79"/>
      <c r="B11" s="80"/>
      <c r="C11" s="85" t="str">
        <f>IF(transferTable[[#This Row],[ر.م.مصدر]]&lt;&gt;"",VLOOKUP(transferTable[[#This Row],[ر.م.مصدر]],sammary[[رمز المادة]:[اسم المادة]],2,FALSE),"")</f>
        <v/>
      </c>
      <c r="D11" s="80"/>
      <c r="E11" s="85" t="str">
        <f>IF(transferTable[[#This Row],[ر.م.مستورد]]&lt;&gt;"",VLOOKUP(transferTable[[#This Row],[ر.م.مستورد]],sammary[[رمز المادة]:[اسم المادة]],2,FALSE),"")</f>
        <v/>
      </c>
      <c r="F11" s="81"/>
      <c r="G11" s="96"/>
    </row>
  </sheetData>
  <pageMargins left="0.7" right="0.7" top="0.75" bottom="0.75" header="0.3" footer="0.3"/>
  <pageSetup paperSize="9" scale="69" fitToHeight="0"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C9EF-7AE8-4974-9108-D5E2448CE76F}">
  <sheetPr codeName="Sheet10"/>
  <dimension ref="A1:H136"/>
  <sheetViews>
    <sheetView rightToLeft="1" view="pageBreakPreview" zoomScale="110" zoomScaleNormal="120" zoomScaleSheetLayoutView="110" workbookViewId="0">
      <selection activeCell="D25" sqref="D25"/>
    </sheetView>
  </sheetViews>
  <sheetFormatPr defaultColWidth="20.7109375" defaultRowHeight="20.100000000000001" customHeight="1"/>
  <cols>
    <col min="1" max="2" width="10.7109375" style="25" customWidth="1"/>
    <col min="3" max="3" width="20.7109375" style="25" customWidth="1"/>
    <col min="4" max="4" width="20.7109375" style="25"/>
    <col min="5" max="7" width="15.7109375" style="25" customWidth="1"/>
    <col min="8" max="8" width="20.7109375" style="87"/>
    <col min="9" max="16384" width="20.7109375" style="25"/>
  </cols>
  <sheetData>
    <row r="1" spans="1:8" ht="20.100000000000001" customHeight="1">
      <c r="A1" s="148" t="s">
        <v>119</v>
      </c>
      <c r="B1" s="148"/>
      <c r="C1" s="148"/>
      <c r="D1" s="148"/>
      <c r="E1" s="148"/>
      <c r="F1" s="148"/>
      <c r="G1" s="148"/>
      <c r="H1" s="88">
        <f>SUM(distable[فرق السعر])</f>
        <v>0</v>
      </c>
    </row>
    <row r="2" spans="1:8" ht="20.100000000000001" customHeight="1">
      <c r="A2" s="90" t="s">
        <v>0</v>
      </c>
      <c r="B2" s="91" t="s">
        <v>114</v>
      </c>
      <c r="C2" s="91" t="s">
        <v>32</v>
      </c>
      <c r="D2" s="91" t="s">
        <v>116</v>
      </c>
      <c r="E2" s="91" t="s">
        <v>113</v>
      </c>
      <c r="F2" s="91" t="s">
        <v>117</v>
      </c>
      <c r="G2" s="91" t="s">
        <v>80</v>
      </c>
      <c r="H2" s="92" t="s">
        <v>118</v>
      </c>
    </row>
    <row r="3" spans="1:8" ht="20.100000000000001" customHeight="1">
      <c r="A3" s="73"/>
      <c r="B3" s="24"/>
      <c r="C3" s="24" t="str">
        <f>IF(distable[[#This Row],[ر.المادة]]&lt;&gt;"",VLOOKUP(distable[[#This Row],[ر.المادة]],sammary[[رمز المادة]:[السعر]],2,FALSE),"")</f>
        <v/>
      </c>
      <c r="D3" s="24"/>
      <c r="E3" s="24" t="str">
        <f>IF(distable[[#This Row],[ر.المادة]]&lt;&gt;"",VLOOKUP(distable[[#This Row],[ر.المادة]],sammary[[رمز المادة]:[السعر]],3,FALSE),"")</f>
        <v/>
      </c>
      <c r="F3" s="24"/>
      <c r="G3" s="24"/>
      <c r="H3" s="93" t="str">
        <f>IF(distable[[#This Row],[ر.المادة]]&lt;&gt;"",distable[[#This Row],[الكمية]]*(distable[[#This Row],[السعر الاصلي]]-distable[[#This Row],[السعر بعد الخصم]]),"")</f>
        <v/>
      </c>
    </row>
    <row r="4" spans="1:8" ht="20.100000000000001" customHeight="1">
      <c r="A4" s="73"/>
      <c r="B4" s="24"/>
      <c r="C4" s="24" t="str">
        <f>IF(distable[[#This Row],[ر.المادة]]&lt;&gt;"",VLOOKUP(distable[[#This Row],[ر.المادة]],sammary[[رمز المادة]:[السعر]],2,FALSE),"")</f>
        <v/>
      </c>
      <c r="D4" s="24"/>
      <c r="E4" s="24" t="str">
        <f>IF(distable[[#This Row],[ر.المادة]]&lt;&gt;"",VLOOKUP(distable[[#This Row],[ر.المادة]],sammary[[رمز المادة]:[السعر]],3,FALSE),"")</f>
        <v/>
      </c>
      <c r="F4" s="24"/>
      <c r="G4" s="24"/>
      <c r="H4" s="93" t="str">
        <f>IF(distable[[#This Row],[ر.المادة]]&lt;&gt;"",distable[[#This Row],[الكمية]]*(distable[[#This Row],[السعر الاصلي]]-distable[[#This Row],[السعر بعد الخصم]]),"")</f>
        <v/>
      </c>
    </row>
    <row r="5" spans="1:8" ht="20.100000000000001" customHeight="1">
      <c r="A5" s="73"/>
      <c r="B5" s="24"/>
      <c r="C5" s="24" t="str">
        <f>IF(distable[[#This Row],[ر.المادة]]&lt;&gt;"",VLOOKUP(distable[[#This Row],[ر.المادة]],sammary[[رمز المادة]:[السعر]],2,FALSE),"")</f>
        <v/>
      </c>
      <c r="D5" s="24"/>
      <c r="E5" s="24" t="str">
        <f>IF(distable[[#This Row],[ر.المادة]]&lt;&gt;"",VLOOKUP(distable[[#This Row],[ر.المادة]],sammary[[رمز المادة]:[السعر]],3,FALSE),"")</f>
        <v/>
      </c>
      <c r="F5" s="24"/>
      <c r="G5" s="24"/>
      <c r="H5" s="93" t="str">
        <f>IF(distable[[#This Row],[ر.المادة]]&lt;&gt;"",distable[[#This Row],[الكمية]]*(distable[[#This Row],[السعر الاصلي]]-distable[[#This Row],[السعر بعد الخصم]]),"")</f>
        <v/>
      </c>
    </row>
    <row r="6" spans="1:8" ht="20.100000000000001" customHeight="1">
      <c r="A6" s="73"/>
      <c r="B6" s="24"/>
      <c r="C6" s="24" t="str">
        <f>IF(distable[[#This Row],[ر.المادة]]&lt;&gt;"",VLOOKUP(distable[[#This Row],[ر.المادة]],sammary[[رمز المادة]:[السعر]],2,FALSE),"")</f>
        <v/>
      </c>
      <c r="D6" s="24"/>
      <c r="E6" s="24" t="str">
        <f>IF(distable[[#This Row],[ر.المادة]]&lt;&gt;"",VLOOKUP(distable[[#This Row],[ر.المادة]],sammary[[رمز المادة]:[السعر]],3,FALSE),"")</f>
        <v/>
      </c>
      <c r="F6" s="24"/>
      <c r="G6" s="24"/>
      <c r="H6" s="93" t="str">
        <f>IF(distable[[#This Row],[ر.المادة]]&lt;&gt;"",distable[[#This Row],[الكمية]]*(distable[[#This Row],[السعر الاصلي]]-distable[[#This Row],[السعر بعد الخصم]]),"")</f>
        <v/>
      </c>
    </row>
    <row r="7" spans="1:8" ht="20.100000000000001" customHeight="1">
      <c r="A7" s="22"/>
      <c r="B7" s="21"/>
      <c r="C7" s="21" t="str">
        <f>IF(distable[[#This Row],[ر.المادة]]&lt;&gt;"",VLOOKUP(distable[[#This Row],[ر.المادة]],sammary[[رمز المادة]:[السعر]],2,FALSE),"")</f>
        <v/>
      </c>
      <c r="D7" s="21"/>
      <c r="E7" s="21" t="str">
        <f>IF(distable[[#This Row],[ر.المادة]]&lt;&gt;"",VLOOKUP(distable[[#This Row],[ر.المادة]],sammary[[رمز المادة]:[السعر]],3,FALSE),"")</f>
        <v/>
      </c>
      <c r="F7" s="21"/>
      <c r="G7" s="21"/>
      <c r="H7" s="98" t="str">
        <f>IF(distable[[#This Row],[ر.المادة]]&lt;&gt;"",distable[[#This Row],[الكمية]]*(distable[[#This Row],[السعر الاصلي]]-distable[[#This Row],[السعر بعد الخصم]]),"")</f>
        <v/>
      </c>
    </row>
    <row r="8" spans="1:8" ht="20.100000000000001" customHeight="1">
      <c r="A8" s="102"/>
      <c r="B8" s="21"/>
      <c r="C8" s="21" t="str">
        <f>IF(distable[[#This Row],[ر.المادة]]&lt;&gt;"",VLOOKUP(distable[[#This Row],[ر.المادة]],sammary[[رمز المادة]:[السعر]],2,FALSE),"")</f>
        <v/>
      </c>
      <c r="D8" s="21"/>
      <c r="E8" s="21" t="str">
        <f>IF(distable[[#This Row],[ر.المادة]]&lt;&gt;"",VLOOKUP(distable[[#This Row],[ر.المادة]],sammary[[رمز المادة]:[السعر]],3,FALSE),"")</f>
        <v/>
      </c>
      <c r="F8" s="21"/>
      <c r="G8" s="21"/>
      <c r="H8" s="103" t="str">
        <f>IF(distable[[#This Row],[ر.المادة]]&lt;&gt;"",distable[[#This Row],[الكمية]]*(distable[[#This Row],[السعر الاصلي]]-distable[[#This Row],[السعر بعد الخصم]]),"")</f>
        <v/>
      </c>
    </row>
    <row r="9" spans="1:8" ht="20.100000000000001" customHeight="1">
      <c r="A9" s="102"/>
      <c r="B9" s="21"/>
      <c r="C9" s="21" t="str">
        <f>IF(distable[[#This Row],[ر.المادة]]&lt;&gt;"",VLOOKUP(distable[[#This Row],[ر.المادة]],sammary[[رمز المادة]:[السعر]],2,FALSE),"")</f>
        <v/>
      </c>
      <c r="D9" s="21"/>
      <c r="E9" s="21" t="str">
        <f>IF(distable[[#This Row],[ر.المادة]]&lt;&gt;"",VLOOKUP(distable[[#This Row],[ر.المادة]],sammary[[رمز المادة]:[السعر]],3,FALSE),"")</f>
        <v/>
      </c>
      <c r="F9" s="21"/>
      <c r="G9" s="21"/>
      <c r="H9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" spans="1:8" ht="20.100000000000001" customHeight="1">
      <c r="A10" s="102"/>
      <c r="B10" s="21"/>
      <c r="C10" s="21" t="str">
        <f>IF(distable[[#This Row],[ر.المادة]]&lt;&gt;"",VLOOKUP(distable[[#This Row],[ر.المادة]],sammary[[رمز المادة]:[السعر]],2,FALSE),"")</f>
        <v/>
      </c>
      <c r="D10" s="21"/>
      <c r="E10" s="21" t="str">
        <f>IF(distable[[#This Row],[ر.المادة]]&lt;&gt;"",VLOOKUP(distable[[#This Row],[ر.المادة]],sammary[[رمز المادة]:[السعر]],3,FALSE),"")</f>
        <v/>
      </c>
      <c r="F10" s="21"/>
      <c r="G10" s="21"/>
      <c r="H10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" spans="1:8" ht="20.100000000000001" customHeight="1">
      <c r="A11" s="102"/>
      <c r="B11" s="21"/>
      <c r="C11" s="21" t="str">
        <f>IF(distable[[#This Row],[ر.المادة]]&lt;&gt;"",VLOOKUP(distable[[#This Row],[ر.المادة]],sammary[[رمز المادة]:[السعر]],2,FALSE),"")</f>
        <v/>
      </c>
      <c r="D11" s="21"/>
      <c r="E11" s="21" t="str">
        <f>IF(distable[[#This Row],[ر.المادة]]&lt;&gt;"",VLOOKUP(distable[[#This Row],[ر.المادة]],sammary[[رمز المادة]:[السعر]],3,FALSE),"")</f>
        <v/>
      </c>
      <c r="F11" s="21"/>
      <c r="G11" s="21"/>
      <c r="H11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" spans="1:8" ht="20.100000000000001" customHeight="1">
      <c r="A12" s="102"/>
      <c r="B12" s="21"/>
      <c r="C12" s="21" t="str">
        <f>IF(distable[[#This Row],[ر.المادة]]&lt;&gt;"",VLOOKUP(distable[[#This Row],[ر.المادة]],sammary[[رمز المادة]:[السعر]],2,FALSE),"")</f>
        <v/>
      </c>
      <c r="D12" s="21"/>
      <c r="E12" s="21" t="str">
        <f>IF(distable[[#This Row],[ر.المادة]]&lt;&gt;"",VLOOKUP(distable[[#This Row],[ر.المادة]],sammary[[رمز المادة]:[السعر]],3,FALSE),"")</f>
        <v/>
      </c>
      <c r="F12" s="21"/>
      <c r="G12" s="21"/>
      <c r="H12" s="103" t="str">
        <f>IF(distable[[#This Row],[ر.المادة]]&lt;&gt;"",distable[[#This Row],[الكمية]]*(distable[[#This Row],[السعر الاصلي]]-distable[[#This Row],[السعر بعد الخصم]]),"")</f>
        <v/>
      </c>
    </row>
    <row r="13" spans="1:8" ht="20.100000000000001" customHeight="1">
      <c r="A13" s="102"/>
      <c r="B13" s="21"/>
      <c r="C13" s="21" t="str">
        <f>IF(distable[[#This Row],[ر.المادة]]&lt;&gt;"",VLOOKUP(distable[[#This Row],[ر.المادة]],sammary[[رمز المادة]:[السعر]],2,FALSE),"")</f>
        <v/>
      </c>
      <c r="D13" s="21"/>
      <c r="E13" s="21" t="str">
        <f>IF(distable[[#This Row],[ر.المادة]]&lt;&gt;"",VLOOKUP(distable[[#This Row],[ر.المادة]],sammary[[رمز المادة]:[السعر]],3,FALSE),"")</f>
        <v/>
      </c>
      <c r="F13" s="21"/>
      <c r="G13" s="21"/>
      <c r="H13" s="103" t="str">
        <f>IF(distable[[#This Row],[ر.المادة]]&lt;&gt;"",distable[[#This Row],[الكمية]]*(distable[[#This Row],[السعر الاصلي]]-distable[[#This Row],[السعر بعد الخصم]]),"")</f>
        <v/>
      </c>
    </row>
    <row r="14" spans="1:8" ht="20.100000000000001" customHeight="1">
      <c r="A14" s="102"/>
      <c r="B14" s="21"/>
      <c r="C14" s="21" t="str">
        <f>IF(distable[[#This Row],[ر.المادة]]&lt;&gt;"",VLOOKUP(distable[[#This Row],[ر.المادة]],sammary[[رمز المادة]:[السعر]],2,FALSE),"")</f>
        <v/>
      </c>
      <c r="D14" s="21"/>
      <c r="E14" s="21" t="str">
        <f>IF(distable[[#This Row],[ر.المادة]]&lt;&gt;"",VLOOKUP(distable[[#This Row],[ر.المادة]],sammary[[رمز المادة]:[السعر]],3,FALSE),"")</f>
        <v/>
      </c>
      <c r="F14" s="21"/>
      <c r="G14" s="21"/>
      <c r="H14" s="103" t="str">
        <f>IF(distable[[#This Row],[ر.المادة]]&lt;&gt;"",distable[[#This Row],[الكمية]]*(distable[[#This Row],[السعر الاصلي]]-distable[[#This Row],[السعر بعد الخصم]]),"")</f>
        <v/>
      </c>
    </row>
    <row r="15" spans="1:8" ht="20.100000000000001" customHeight="1">
      <c r="A15" s="102"/>
      <c r="B15" s="21"/>
      <c r="C15" s="21" t="str">
        <f>IF(distable[[#This Row],[ر.المادة]]&lt;&gt;"",VLOOKUP(distable[[#This Row],[ر.المادة]],sammary[[رمز المادة]:[السعر]],2,FALSE),"")</f>
        <v/>
      </c>
      <c r="D15" s="21"/>
      <c r="E15" s="21" t="str">
        <f>IF(distable[[#This Row],[ر.المادة]]&lt;&gt;"",VLOOKUP(distable[[#This Row],[ر.المادة]],sammary[[رمز المادة]:[السعر]],3,FALSE),"")</f>
        <v/>
      </c>
      <c r="F15" s="21"/>
      <c r="G15" s="21"/>
      <c r="H15" s="103" t="str">
        <f>IF(distable[[#This Row],[ر.المادة]]&lt;&gt;"",distable[[#This Row],[الكمية]]*(distable[[#This Row],[السعر الاصلي]]-distable[[#This Row],[السعر بعد الخصم]]),"")</f>
        <v/>
      </c>
    </row>
    <row r="16" spans="1:8" ht="20.100000000000001" customHeight="1">
      <c r="A16" s="102"/>
      <c r="B16" s="21"/>
      <c r="C16" s="21" t="str">
        <f>IF(distable[[#This Row],[ر.المادة]]&lt;&gt;"",VLOOKUP(distable[[#This Row],[ر.المادة]],sammary[[رمز المادة]:[السعر]],2,FALSE),"")</f>
        <v/>
      </c>
      <c r="D16" s="21"/>
      <c r="E16" s="21" t="str">
        <f>IF(distable[[#This Row],[ر.المادة]]&lt;&gt;"",VLOOKUP(distable[[#This Row],[ر.المادة]],sammary[[رمز المادة]:[السعر]],3,FALSE),"")</f>
        <v/>
      </c>
      <c r="F16" s="21"/>
      <c r="G16" s="21"/>
      <c r="H16" s="103" t="str">
        <f>IF(distable[[#This Row],[ر.المادة]]&lt;&gt;"",distable[[#This Row],[الكمية]]*(distable[[#This Row],[السعر الاصلي]]-distable[[#This Row],[السعر بعد الخصم]]),"")</f>
        <v/>
      </c>
    </row>
    <row r="17" spans="1:8" ht="20.100000000000001" customHeight="1">
      <c r="A17" s="102"/>
      <c r="B17" s="21"/>
      <c r="C17" s="21" t="str">
        <f>IF(distable[[#This Row],[ر.المادة]]&lt;&gt;"",VLOOKUP(distable[[#This Row],[ر.المادة]],sammary[[رمز المادة]:[السعر]],2,FALSE),"")</f>
        <v/>
      </c>
      <c r="D17" s="21"/>
      <c r="E17" s="21" t="str">
        <f>IF(distable[[#This Row],[ر.المادة]]&lt;&gt;"",VLOOKUP(distable[[#This Row],[ر.المادة]],sammary[[رمز المادة]:[السعر]],3,FALSE),"")</f>
        <v/>
      </c>
      <c r="F17" s="21"/>
      <c r="G17" s="21"/>
      <c r="H17" s="103" t="str">
        <f>IF(distable[[#This Row],[ر.المادة]]&lt;&gt;"",distable[[#This Row],[الكمية]]*(distable[[#This Row],[السعر الاصلي]]-distable[[#This Row],[السعر بعد الخصم]]),"")</f>
        <v/>
      </c>
    </row>
    <row r="18" spans="1:8" ht="20.100000000000001" customHeight="1">
      <c r="A18" s="102"/>
      <c r="B18" s="21"/>
      <c r="C18" s="21" t="str">
        <f>IF(distable[[#This Row],[ر.المادة]]&lt;&gt;"",VLOOKUP(distable[[#This Row],[ر.المادة]],sammary[[رمز المادة]:[السعر]],2,FALSE),"")</f>
        <v/>
      </c>
      <c r="D18" s="21"/>
      <c r="E18" s="21" t="str">
        <f>IF(distable[[#This Row],[ر.المادة]]&lt;&gt;"",VLOOKUP(distable[[#This Row],[ر.المادة]],sammary[[رمز المادة]:[السعر]],3,FALSE),"")</f>
        <v/>
      </c>
      <c r="F18" s="21"/>
      <c r="G18" s="21"/>
      <c r="H18" s="103" t="str">
        <f>IF(distable[[#This Row],[ر.المادة]]&lt;&gt;"",distable[[#This Row],[الكمية]]*(distable[[#This Row],[السعر الاصلي]]-distable[[#This Row],[السعر بعد الخصم]]),"")</f>
        <v/>
      </c>
    </row>
    <row r="19" spans="1:8" ht="20.100000000000001" customHeight="1">
      <c r="A19" s="102"/>
      <c r="B19" s="21"/>
      <c r="C19" s="21" t="str">
        <f>IF(distable[[#This Row],[ر.المادة]]&lt;&gt;"",VLOOKUP(distable[[#This Row],[ر.المادة]],sammary[[رمز المادة]:[السعر]],2,FALSE),"")</f>
        <v/>
      </c>
      <c r="D19" s="21"/>
      <c r="E19" s="21" t="str">
        <f>IF(distable[[#This Row],[ر.المادة]]&lt;&gt;"",VLOOKUP(distable[[#This Row],[ر.المادة]],sammary[[رمز المادة]:[السعر]],3,FALSE),"")</f>
        <v/>
      </c>
      <c r="F19" s="21"/>
      <c r="G19" s="21"/>
      <c r="H19" s="103" t="str">
        <f>IF(distable[[#This Row],[ر.المادة]]&lt;&gt;"",distable[[#This Row],[الكمية]]*(distable[[#This Row],[السعر الاصلي]]-distable[[#This Row],[السعر بعد الخصم]]),"")</f>
        <v/>
      </c>
    </row>
    <row r="20" spans="1:8" ht="20.100000000000001" customHeight="1">
      <c r="A20" s="102"/>
      <c r="B20" s="21"/>
      <c r="C20" s="21" t="str">
        <f>IF(distable[[#This Row],[ر.المادة]]&lt;&gt;"",VLOOKUP(distable[[#This Row],[ر.المادة]],sammary[[رمز المادة]:[السعر]],2,FALSE),"")</f>
        <v/>
      </c>
      <c r="D20" s="21"/>
      <c r="E20" s="21" t="str">
        <f>IF(distable[[#This Row],[ر.المادة]]&lt;&gt;"",VLOOKUP(distable[[#This Row],[ر.المادة]],sammary[[رمز المادة]:[السعر]],3,FALSE),"")</f>
        <v/>
      </c>
      <c r="F20" s="21"/>
      <c r="G20" s="21"/>
      <c r="H20" s="103" t="str">
        <f>IF(distable[[#This Row],[ر.المادة]]&lt;&gt;"",distable[[#This Row],[الكمية]]*(distable[[#This Row],[السعر الاصلي]]-distable[[#This Row],[السعر بعد الخصم]]),"")</f>
        <v/>
      </c>
    </row>
    <row r="21" spans="1:8" ht="20.100000000000001" customHeight="1">
      <c r="A21" s="102"/>
      <c r="B21" s="21"/>
      <c r="C21" s="21" t="str">
        <f>IF(distable[[#This Row],[ر.المادة]]&lt;&gt;"",VLOOKUP(distable[[#This Row],[ر.المادة]],sammary[[رمز المادة]:[السعر]],2,FALSE),"")</f>
        <v/>
      </c>
      <c r="D21" s="21"/>
      <c r="E21" s="21" t="str">
        <f>IF(distable[[#This Row],[ر.المادة]]&lt;&gt;"",VLOOKUP(distable[[#This Row],[ر.المادة]],sammary[[رمز المادة]:[السعر]],3,FALSE),"")</f>
        <v/>
      </c>
      <c r="F21" s="21"/>
      <c r="G21" s="21"/>
      <c r="H21" s="103" t="str">
        <f>IF(distable[[#This Row],[ر.المادة]]&lt;&gt;"",distable[[#This Row],[الكمية]]*(distable[[#This Row],[السعر الاصلي]]-distable[[#This Row],[السعر بعد الخصم]]),"")</f>
        <v/>
      </c>
    </row>
    <row r="22" spans="1:8" ht="20.100000000000001" customHeight="1">
      <c r="A22" s="102"/>
      <c r="B22" s="21"/>
      <c r="C22" s="21" t="str">
        <f>IF(distable[[#This Row],[ر.المادة]]&lt;&gt;"",VLOOKUP(distable[[#This Row],[ر.المادة]],sammary[[رمز المادة]:[السعر]],2,FALSE),"")</f>
        <v/>
      </c>
      <c r="D22" s="21"/>
      <c r="E22" s="21" t="str">
        <f>IF(distable[[#This Row],[ر.المادة]]&lt;&gt;"",VLOOKUP(distable[[#This Row],[ر.المادة]],sammary[[رمز المادة]:[السعر]],3,FALSE),"")</f>
        <v/>
      </c>
      <c r="F22" s="21"/>
      <c r="G22" s="21"/>
      <c r="H22" s="103" t="str">
        <f>IF(distable[[#This Row],[ر.المادة]]&lt;&gt;"",distable[[#This Row],[الكمية]]*(distable[[#This Row],[السعر الاصلي]]-distable[[#This Row],[السعر بعد الخصم]]),"")</f>
        <v/>
      </c>
    </row>
    <row r="23" spans="1:8" ht="20.100000000000001" customHeight="1">
      <c r="A23" s="102"/>
      <c r="B23" s="21"/>
      <c r="C23" s="21" t="str">
        <f>IF(distable[[#This Row],[ر.المادة]]&lt;&gt;"",VLOOKUP(distable[[#This Row],[ر.المادة]],sammary[[رمز المادة]:[السعر]],2,FALSE),"")</f>
        <v/>
      </c>
      <c r="D23" s="21"/>
      <c r="E23" s="21" t="str">
        <f>IF(distable[[#This Row],[ر.المادة]]&lt;&gt;"",VLOOKUP(distable[[#This Row],[ر.المادة]],sammary[[رمز المادة]:[السعر]],3,FALSE),"")</f>
        <v/>
      </c>
      <c r="F23" s="21"/>
      <c r="G23" s="21"/>
      <c r="H23" s="103" t="str">
        <f>IF(distable[[#This Row],[ر.المادة]]&lt;&gt;"",distable[[#This Row],[الكمية]]*(distable[[#This Row],[السعر الاصلي]]-distable[[#This Row],[السعر بعد الخصم]]),"")</f>
        <v/>
      </c>
    </row>
    <row r="24" spans="1:8" ht="20.100000000000001" customHeight="1">
      <c r="A24" s="102"/>
      <c r="B24" s="21"/>
      <c r="C24" s="21" t="str">
        <f>IF(distable[[#This Row],[ر.المادة]]&lt;&gt;"",VLOOKUP(distable[[#This Row],[ر.المادة]],sammary[[رمز المادة]:[السعر]],2,FALSE),"")</f>
        <v/>
      </c>
      <c r="D24" s="21"/>
      <c r="E24" s="21" t="str">
        <f>IF(distable[[#This Row],[ر.المادة]]&lt;&gt;"",VLOOKUP(distable[[#This Row],[ر.المادة]],sammary[[رمز المادة]:[السعر]],3,FALSE),"")</f>
        <v/>
      </c>
      <c r="F24" s="21"/>
      <c r="G24" s="21"/>
      <c r="H24" s="103" t="str">
        <f>IF(distable[[#This Row],[ر.المادة]]&lt;&gt;"",distable[[#This Row],[الكمية]]*(distable[[#This Row],[السعر الاصلي]]-distable[[#This Row],[السعر بعد الخصم]]),"")</f>
        <v/>
      </c>
    </row>
    <row r="25" spans="1:8" ht="20.100000000000001" customHeight="1">
      <c r="A25" s="102"/>
      <c r="B25" s="21"/>
      <c r="C25" s="21" t="str">
        <f>IF(distable[[#This Row],[ر.المادة]]&lt;&gt;"",VLOOKUP(distable[[#This Row],[ر.المادة]],sammary[[رمز المادة]:[السعر]],2,FALSE),"")</f>
        <v/>
      </c>
      <c r="D25" s="21"/>
      <c r="E25" s="21" t="str">
        <f>IF(distable[[#This Row],[ر.المادة]]&lt;&gt;"",VLOOKUP(distable[[#This Row],[ر.المادة]],sammary[[رمز المادة]:[السعر]],3,FALSE),"")</f>
        <v/>
      </c>
      <c r="F25" s="21"/>
      <c r="G25" s="21"/>
      <c r="H25" s="103" t="str">
        <f>IF(distable[[#This Row],[ر.المادة]]&lt;&gt;"",distable[[#This Row],[الكمية]]*(distable[[#This Row],[السعر الاصلي]]-distable[[#This Row],[السعر بعد الخصم]]),"")</f>
        <v/>
      </c>
    </row>
    <row r="26" spans="1:8" ht="20.100000000000001" customHeight="1">
      <c r="A26" s="102"/>
      <c r="B26" s="21"/>
      <c r="C26" s="21" t="str">
        <f>IF(distable[[#This Row],[ر.المادة]]&lt;&gt;"",VLOOKUP(distable[[#This Row],[ر.المادة]],sammary[[رمز المادة]:[السعر]],2,FALSE),"")</f>
        <v/>
      </c>
      <c r="D26" s="21"/>
      <c r="E26" s="21" t="str">
        <f>IF(distable[[#This Row],[ر.المادة]]&lt;&gt;"",VLOOKUP(distable[[#This Row],[ر.المادة]],sammary[[رمز المادة]:[السعر]],3,FALSE),"")</f>
        <v/>
      </c>
      <c r="F26" s="21"/>
      <c r="G26" s="21"/>
      <c r="H26" s="103" t="str">
        <f>IF(distable[[#This Row],[ر.المادة]]&lt;&gt;"",distable[[#This Row],[الكمية]]*(distable[[#This Row],[السعر الاصلي]]-distable[[#This Row],[السعر بعد الخصم]]),"")</f>
        <v/>
      </c>
    </row>
    <row r="27" spans="1:8" ht="20.100000000000001" customHeight="1">
      <c r="A27" s="102"/>
      <c r="B27" s="21"/>
      <c r="C27" s="21" t="str">
        <f>IF(distable[[#This Row],[ر.المادة]]&lt;&gt;"",VLOOKUP(distable[[#This Row],[ر.المادة]],sammary[[رمز المادة]:[السعر]],2,FALSE),"")</f>
        <v/>
      </c>
      <c r="D27" s="21"/>
      <c r="E27" s="21" t="str">
        <f>IF(distable[[#This Row],[ر.المادة]]&lt;&gt;"",VLOOKUP(distable[[#This Row],[ر.المادة]],sammary[[رمز المادة]:[السعر]],3,FALSE),"")</f>
        <v/>
      </c>
      <c r="F27" s="21"/>
      <c r="G27" s="21"/>
      <c r="H27" s="103" t="str">
        <f>IF(distable[[#This Row],[ر.المادة]]&lt;&gt;"",distable[[#This Row],[الكمية]]*(distable[[#This Row],[السعر الاصلي]]-distable[[#This Row],[السعر بعد الخصم]]),"")</f>
        <v/>
      </c>
    </row>
    <row r="28" spans="1:8" ht="20.100000000000001" customHeight="1">
      <c r="A28" s="102"/>
      <c r="B28" s="21"/>
      <c r="C28" s="21" t="str">
        <f>IF(distable[[#This Row],[ر.المادة]]&lt;&gt;"",VLOOKUP(distable[[#This Row],[ر.المادة]],sammary[[رمز المادة]:[السعر]],2,FALSE),"")</f>
        <v/>
      </c>
      <c r="D28" s="21"/>
      <c r="E28" s="21" t="str">
        <f>IF(distable[[#This Row],[ر.المادة]]&lt;&gt;"",VLOOKUP(distable[[#This Row],[ر.المادة]],sammary[[رمز المادة]:[السعر]],3,FALSE),"")</f>
        <v/>
      </c>
      <c r="F28" s="21"/>
      <c r="G28" s="21"/>
      <c r="H28" s="103" t="str">
        <f>IF(distable[[#This Row],[ر.المادة]]&lt;&gt;"",distable[[#This Row],[الكمية]]*(distable[[#This Row],[السعر الاصلي]]-distable[[#This Row],[السعر بعد الخصم]]),"")</f>
        <v/>
      </c>
    </row>
    <row r="29" spans="1:8" ht="20.100000000000001" customHeight="1">
      <c r="A29" s="102"/>
      <c r="B29" s="21"/>
      <c r="C29" s="21" t="str">
        <f>IF(distable[[#This Row],[ر.المادة]]&lt;&gt;"",VLOOKUP(distable[[#This Row],[ر.المادة]],sammary[[رمز المادة]:[السعر]],2,FALSE),"")</f>
        <v/>
      </c>
      <c r="D29" s="21"/>
      <c r="E29" s="21" t="str">
        <f>IF(distable[[#This Row],[ر.المادة]]&lt;&gt;"",VLOOKUP(distable[[#This Row],[ر.المادة]],sammary[[رمز المادة]:[السعر]],3,FALSE),"")</f>
        <v/>
      </c>
      <c r="F29" s="21"/>
      <c r="G29" s="21"/>
      <c r="H29" s="103" t="str">
        <f>IF(distable[[#This Row],[ر.المادة]]&lt;&gt;"",distable[[#This Row],[الكمية]]*(distable[[#This Row],[السعر الاصلي]]-distable[[#This Row],[السعر بعد الخصم]]),"")</f>
        <v/>
      </c>
    </row>
    <row r="30" spans="1:8" ht="20.100000000000001" customHeight="1">
      <c r="A30" s="102"/>
      <c r="B30" s="21"/>
      <c r="C30" s="21" t="str">
        <f>IF(distable[[#This Row],[ر.المادة]]&lt;&gt;"",VLOOKUP(distable[[#This Row],[ر.المادة]],sammary[[رمز المادة]:[السعر]],2,FALSE),"")</f>
        <v/>
      </c>
      <c r="D30" s="21"/>
      <c r="E30" s="21" t="str">
        <f>IF(distable[[#This Row],[ر.المادة]]&lt;&gt;"",VLOOKUP(distable[[#This Row],[ر.المادة]],sammary[[رمز المادة]:[السعر]],3,FALSE),"")</f>
        <v/>
      </c>
      <c r="F30" s="21"/>
      <c r="G30" s="21"/>
      <c r="H30" s="103" t="str">
        <f>IF(distable[[#This Row],[ر.المادة]]&lt;&gt;"",distable[[#This Row],[الكمية]]*(distable[[#This Row],[السعر الاصلي]]-distable[[#This Row],[السعر بعد الخصم]]),"")</f>
        <v/>
      </c>
    </row>
    <row r="31" spans="1:8" ht="20.100000000000001" customHeight="1">
      <c r="A31" s="102"/>
      <c r="B31" s="21"/>
      <c r="C31" s="21" t="str">
        <f>IF(distable[[#This Row],[ر.المادة]]&lt;&gt;"",VLOOKUP(distable[[#This Row],[ر.المادة]],sammary[[رمز المادة]:[السعر]],2,FALSE),"")</f>
        <v/>
      </c>
      <c r="D31" s="21"/>
      <c r="E31" s="21" t="str">
        <f>IF(distable[[#This Row],[ر.المادة]]&lt;&gt;"",VLOOKUP(distable[[#This Row],[ر.المادة]],sammary[[رمز المادة]:[السعر]],3,FALSE),"")</f>
        <v/>
      </c>
      <c r="F31" s="21"/>
      <c r="G31" s="21"/>
      <c r="H31" s="103" t="str">
        <f>IF(distable[[#This Row],[ر.المادة]]&lt;&gt;"",distable[[#This Row],[الكمية]]*(distable[[#This Row],[السعر الاصلي]]-distable[[#This Row],[السعر بعد الخصم]]),"")</f>
        <v/>
      </c>
    </row>
    <row r="32" spans="1:8" ht="20.100000000000001" customHeight="1">
      <c r="A32" s="102"/>
      <c r="B32" s="21"/>
      <c r="C32" s="21" t="str">
        <f>IF(distable[[#This Row],[ر.المادة]]&lt;&gt;"",VLOOKUP(distable[[#This Row],[ر.المادة]],sammary[[رمز المادة]:[السعر]],2,FALSE),"")</f>
        <v/>
      </c>
      <c r="D32" s="21"/>
      <c r="E32" s="21" t="str">
        <f>IF(distable[[#This Row],[ر.المادة]]&lt;&gt;"",VLOOKUP(distable[[#This Row],[ر.المادة]],sammary[[رمز المادة]:[السعر]],3,FALSE),"")</f>
        <v/>
      </c>
      <c r="F32" s="21"/>
      <c r="G32" s="21"/>
      <c r="H32" s="103" t="str">
        <f>IF(distable[[#This Row],[ر.المادة]]&lt;&gt;"",distable[[#This Row],[الكمية]]*(distable[[#This Row],[السعر الاصلي]]-distable[[#This Row],[السعر بعد الخصم]]),"")</f>
        <v/>
      </c>
    </row>
    <row r="33" spans="1:8" ht="20.100000000000001" customHeight="1">
      <c r="A33" s="102"/>
      <c r="B33" s="21"/>
      <c r="C33" s="21" t="str">
        <f>IF(distable[[#This Row],[ر.المادة]]&lt;&gt;"",VLOOKUP(distable[[#This Row],[ر.المادة]],sammary[[رمز المادة]:[السعر]],2,FALSE),"")</f>
        <v/>
      </c>
      <c r="D33" s="21"/>
      <c r="E33" s="21" t="str">
        <f>IF(distable[[#This Row],[ر.المادة]]&lt;&gt;"",VLOOKUP(distable[[#This Row],[ر.المادة]],sammary[[رمز المادة]:[السعر]],3,FALSE),"")</f>
        <v/>
      </c>
      <c r="F33" s="21"/>
      <c r="G33" s="21"/>
      <c r="H33" s="103" t="str">
        <f>IF(distable[[#This Row],[ر.المادة]]&lt;&gt;"",distable[[#This Row],[الكمية]]*(distable[[#This Row],[السعر الاصلي]]-distable[[#This Row],[السعر بعد الخصم]]),"")</f>
        <v/>
      </c>
    </row>
    <row r="34" spans="1:8" ht="20.100000000000001" customHeight="1">
      <c r="A34" s="102"/>
      <c r="B34" s="21"/>
      <c r="C34" s="21" t="str">
        <f>IF(distable[[#This Row],[ر.المادة]]&lt;&gt;"",VLOOKUP(distable[[#This Row],[ر.المادة]],sammary[[رمز المادة]:[السعر]],2,FALSE),"")</f>
        <v/>
      </c>
      <c r="D34" s="21"/>
      <c r="E34" s="21" t="str">
        <f>IF(distable[[#This Row],[ر.المادة]]&lt;&gt;"",VLOOKUP(distable[[#This Row],[ر.المادة]],sammary[[رمز المادة]:[السعر]],3,FALSE),"")</f>
        <v/>
      </c>
      <c r="F34" s="21"/>
      <c r="G34" s="21"/>
      <c r="H34" s="103" t="str">
        <f>IF(distable[[#This Row],[ر.المادة]]&lt;&gt;"",distable[[#This Row],[الكمية]]*(distable[[#This Row],[السعر الاصلي]]-distable[[#This Row],[السعر بعد الخصم]]),"")</f>
        <v/>
      </c>
    </row>
    <row r="35" spans="1:8" ht="20.100000000000001" customHeight="1">
      <c r="A35" s="102"/>
      <c r="B35" s="21"/>
      <c r="C35" s="21" t="str">
        <f>IF(distable[[#This Row],[ر.المادة]]&lt;&gt;"",VLOOKUP(distable[[#This Row],[ر.المادة]],sammary[[رمز المادة]:[السعر]],2,FALSE),"")</f>
        <v/>
      </c>
      <c r="D35" s="21"/>
      <c r="E35" s="21" t="str">
        <f>IF(distable[[#This Row],[ر.المادة]]&lt;&gt;"",VLOOKUP(distable[[#This Row],[ر.المادة]],sammary[[رمز المادة]:[السعر]],3,FALSE),"")</f>
        <v/>
      </c>
      <c r="F35" s="21"/>
      <c r="G35" s="21"/>
      <c r="H35" s="103" t="str">
        <f>IF(distable[[#This Row],[ر.المادة]]&lt;&gt;"",distable[[#This Row],[الكمية]]*(distable[[#This Row],[السعر الاصلي]]-distable[[#This Row],[السعر بعد الخصم]]),"")</f>
        <v/>
      </c>
    </row>
    <row r="36" spans="1:8" ht="20.100000000000001" customHeight="1">
      <c r="A36" s="102"/>
      <c r="B36" s="21"/>
      <c r="C36" s="21" t="str">
        <f>IF(distable[[#This Row],[ر.المادة]]&lt;&gt;"",VLOOKUP(distable[[#This Row],[ر.المادة]],sammary[[رمز المادة]:[السعر]],2,FALSE),"")</f>
        <v/>
      </c>
      <c r="D36" s="21"/>
      <c r="E36" s="21" t="str">
        <f>IF(distable[[#This Row],[ر.المادة]]&lt;&gt;"",VLOOKUP(distable[[#This Row],[ر.المادة]],sammary[[رمز المادة]:[السعر]],3,FALSE),"")</f>
        <v/>
      </c>
      <c r="F36" s="21"/>
      <c r="G36" s="21"/>
      <c r="H36" s="103" t="str">
        <f>IF(distable[[#This Row],[ر.المادة]]&lt;&gt;"",distable[[#This Row],[الكمية]]*(distable[[#This Row],[السعر الاصلي]]-distable[[#This Row],[السعر بعد الخصم]]),"")</f>
        <v/>
      </c>
    </row>
    <row r="37" spans="1:8" ht="20.100000000000001" customHeight="1">
      <c r="A37" s="102"/>
      <c r="B37" s="21"/>
      <c r="C37" s="21" t="str">
        <f>IF(distable[[#This Row],[ر.المادة]]&lt;&gt;"",VLOOKUP(distable[[#This Row],[ر.المادة]],sammary[[رمز المادة]:[السعر]],2,FALSE),"")</f>
        <v/>
      </c>
      <c r="D37" s="21"/>
      <c r="E37" s="21" t="str">
        <f>IF(distable[[#This Row],[ر.المادة]]&lt;&gt;"",VLOOKUP(distable[[#This Row],[ر.المادة]],sammary[[رمز المادة]:[السعر]],3,FALSE),"")</f>
        <v/>
      </c>
      <c r="F37" s="21"/>
      <c r="G37" s="21"/>
      <c r="H37" s="103" t="str">
        <f>IF(distable[[#This Row],[ر.المادة]]&lt;&gt;"",distable[[#This Row],[الكمية]]*(distable[[#This Row],[السعر الاصلي]]-distable[[#This Row],[السعر بعد الخصم]]),"")</f>
        <v/>
      </c>
    </row>
    <row r="38" spans="1:8" ht="20.100000000000001" customHeight="1">
      <c r="A38" s="102"/>
      <c r="B38" s="21"/>
      <c r="C38" s="21" t="str">
        <f>IF(distable[[#This Row],[ر.المادة]]&lt;&gt;"",VLOOKUP(distable[[#This Row],[ر.المادة]],sammary[[رمز المادة]:[السعر]],2,FALSE),"")</f>
        <v/>
      </c>
      <c r="D38" s="21"/>
      <c r="E38" s="21" t="str">
        <f>IF(distable[[#This Row],[ر.المادة]]&lt;&gt;"",VLOOKUP(distable[[#This Row],[ر.المادة]],sammary[[رمز المادة]:[السعر]],3,FALSE),"")</f>
        <v/>
      </c>
      <c r="F38" s="21"/>
      <c r="G38" s="21"/>
      <c r="H38" s="103" t="str">
        <f>IF(distable[[#This Row],[ر.المادة]]&lt;&gt;"",distable[[#This Row],[الكمية]]*(distable[[#This Row],[السعر الاصلي]]-distable[[#This Row],[السعر بعد الخصم]]),"")</f>
        <v/>
      </c>
    </row>
    <row r="39" spans="1:8" ht="20.100000000000001" customHeight="1">
      <c r="A39" s="102"/>
      <c r="B39" s="21"/>
      <c r="C39" s="21" t="str">
        <f>IF(distable[[#This Row],[ر.المادة]]&lt;&gt;"",VLOOKUP(distable[[#This Row],[ر.المادة]],sammary[[رمز المادة]:[السعر]],2,FALSE),"")</f>
        <v/>
      </c>
      <c r="D39" s="21"/>
      <c r="E39" s="21" t="str">
        <f>IF(distable[[#This Row],[ر.المادة]]&lt;&gt;"",VLOOKUP(distable[[#This Row],[ر.المادة]],sammary[[رمز المادة]:[السعر]],3,FALSE),"")</f>
        <v/>
      </c>
      <c r="F39" s="21"/>
      <c r="G39" s="21"/>
      <c r="H39" s="103" t="str">
        <f>IF(distable[[#This Row],[ر.المادة]]&lt;&gt;"",distable[[#This Row],[الكمية]]*(distable[[#This Row],[السعر الاصلي]]-distable[[#This Row],[السعر بعد الخصم]]),"")</f>
        <v/>
      </c>
    </row>
    <row r="40" spans="1:8" ht="20.100000000000001" customHeight="1">
      <c r="A40" s="102"/>
      <c r="B40" s="21"/>
      <c r="C40" s="21" t="str">
        <f>IF(distable[[#This Row],[ر.المادة]]&lt;&gt;"",VLOOKUP(distable[[#This Row],[ر.المادة]],sammary[[رمز المادة]:[السعر]],2,FALSE),"")</f>
        <v/>
      </c>
      <c r="D40" s="21"/>
      <c r="E40" s="21" t="str">
        <f>IF(distable[[#This Row],[ر.المادة]]&lt;&gt;"",VLOOKUP(distable[[#This Row],[ر.المادة]],sammary[[رمز المادة]:[السعر]],3,FALSE),"")</f>
        <v/>
      </c>
      <c r="F40" s="21"/>
      <c r="G40" s="21"/>
      <c r="H40" s="103" t="str">
        <f>IF(distable[[#This Row],[ر.المادة]]&lt;&gt;"",distable[[#This Row],[الكمية]]*(distable[[#This Row],[السعر الاصلي]]-distable[[#This Row],[السعر بعد الخصم]]),"")</f>
        <v/>
      </c>
    </row>
    <row r="41" spans="1:8" ht="20.100000000000001" customHeight="1">
      <c r="A41" s="102"/>
      <c r="B41" s="21"/>
      <c r="C41" s="21" t="str">
        <f>IF(distable[[#This Row],[ر.المادة]]&lt;&gt;"",VLOOKUP(distable[[#This Row],[ر.المادة]],sammary[[رمز المادة]:[السعر]],2,FALSE),"")</f>
        <v/>
      </c>
      <c r="D41" s="21"/>
      <c r="E41" s="21" t="str">
        <f>IF(distable[[#This Row],[ر.المادة]]&lt;&gt;"",VLOOKUP(distable[[#This Row],[ر.المادة]],sammary[[رمز المادة]:[السعر]],3,FALSE),"")</f>
        <v/>
      </c>
      <c r="F41" s="21"/>
      <c r="G41" s="21"/>
      <c r="H41" s="103" t="str">
        <f>IF(distable[[#This Row],[ر.المادة]]&lt;&gt;"",distable[[#This Row],[الكمية]]*(distable[[#This Row],[السعر الاصلي]]-distable[[#This Row],[السعر بعد الخصم]]),"")</f>
        <v/>
      </c>
    </row>
    <row r="42" spans="1:8" ht="20.100000000000001" customHeight="1">
      <c r="A42" s="102"/>
      <c r="B42" s="21"/>
      <c r="C42" s="21" t="str">
        <f>IF(distable[[#This Row],[ر.المادة]]&lt;&gt;"",VLOOKUP(distable[[#This Row],[ر.المادة]],sammary[[رمز المادة]:[السعر]],2,FALSE),"")</f>
        <v/>
      </c>
      <c r="D42" s="21"/>
      <c r="E42" s="21" t="str">
        <f>IF(distable[[#This Row],[ر.المادة]]&lt;&gt;"",VLOOKUP(distable[[#This Row],[ر.المادة]],sammary[[رمز المادة]:[السعر]],3,FALSE),"")</f>
        <v/>
      </c>
      <c r="F42" s="21"/>
      <c r="G42" s="21"/>
      <c r="H42" s="103" t="str">
        <f>IF(distable[[#This Row],[ر.المادة]]&lt;&gt;"",distable[[#This Row],[الكمية]]*(distable[[#This Row],[السعر الاصلي]]-distable[[#This Row],[السعر بعد الخصم]]),"")</f>
        <v/>
      </c>
    </row>
    <row r="43" spans="1:8" ht="20.100000000000001" customHeight="1">
      <c r="A43" s="102"/>
      <c r="B43" s="21"/>
      <c r="C43" s="21" t="str">
        <f>IF(distable[[#This Row],[ر.المادة]]&lt;&gt;"",VLOOKUP(distable[[#This Row],[ر.المادة]],sammary[[رمز المادة]:[السعر]],2,FALSE),"")</f>
        <v/>
      </c>
      <c r="D43" s="21"/>
      <c r="E43" s="21" t="str">
        <f>IF(distable[[#This Row],[ر.المادة]]&lt;&gt;"",VLOOKUP(distable[[#This Row],[ر.المادة]],sammary[[رمز المادة]:[السعر]],3,FALSE),"")</f>
        <v/>
      </c>
      <c r="F43" s="21"/>
      <c r="G43" s="21"/>
      <c r="H43" s="103" t="str">
        <f>IF(distable[[#This Row],[ر.المادة]]&lt;&gt;"",distable[[#This Row],[الكمية]]*(distable[[#This Row],[السعر الاصلي]]-distable[[#This Row],[السعر بعد الخصم]]),"")</f>
        <v/>
      </c>
    </row>
    <row r="44" spans="1:8" ht="20.100000000000001" customHeight="1">
      <c r="A44" s="102"/>
      <c r="B44" s="21"/>
      <c r="C44" s="21" t="str">
        <f>IF(distable[[#This Row],[ر.المادة]]&lt;&gt;"",VLOOKUP(distable[[#This Row],[ر.المادة]],sammary[[رمز المادة]:[السعر]],2,FALSE),"")</f>
        <v/>
      </c>
      <c r="D44" s="21"/>
      <c r="E44" s="21" t="str">
        <f>IF(distable[[#This Row],[ر.المادة]]&lt;&gt;"",VLOOKUP(distable[[#This Row],[ر.المادة]],sammary[[رمز المادة]:[السعر]],3,FALSE),"")</f>
        <v/>
      </c>
      <c r="F44" s="21"/>
      <c r="G44" s="21"/>
      <c r="H44" s="103" t="str">
        <f>IF(distable[[#This Row],[ر.المادة]]&lt;&gt;"",distable[[#This Row],[الكمية]]*(distable[[#This Row],[السعر الاصلي]]-distable[[#This Row],[السعر بعد الخصم]]),"")</f>
        <v/>
      </c>
    </row>
    <row r="45" spans="1:8" ht="20.100000000000001" customHeight="1">
      <c r="A45" s="102"/>
      <c r="B45" s="21"/>
      <c r="C45" s="21" t="str">
        <f>IF(distable[[#This Row],[ر.المادة]]&lt;&gt;"",VLOOKUP(distable[[#This Row],[ر.المادة]],sammary[[رمز المادة]:[السعر]],2,FALSE),"")</f>
        <v/>
      </c>
      <c r="D45" s="21"/>
      <c r="E45" s="21" t="str">
        <f>IF(distable[[#This Row],[ر.المادة]]&lt;&gt;"",VLOOKUP(distable[[#This Row],[ر.المادة]],sammary[[رمز المادة]:[السعر]],3,FALSE),"")</f>
        <v/>
      </c>
      <c r="F45" s="21"/>
      <c r="G45" s="21"/>
      <c r="H45" s="103" t="str">
        <f>IF(distable[[#This Row],[ر.المادة]]&lt;&gt;"",distable[[#This Row],[الكمية]]*(distable[[#This Row],[السعر الاصلي]]-distable[[#This Row],[السعر بعد الخصم]]),"")</f>
        <v/>
      </c>
    </row>
    <row r="46" spans="1:8" ht="20.100000000000001" customHeight="1">
      <c r="A46" s="102"/>
      <c r="B46" s="21"/>
      <c r="C46" s="21" t="str">
        <f>IF(distable[[#This Row],[ر.المادة]]&lt;&gt;"",VLOOKUP(distable[[#This Row],[ر.المادة]],sammary[[رمز المادة]:[السعر]],2,FALSE),"")</f>
        <v/>
      </c>
      <c r="D46" s="21"/>
      <c r="E46" s="21" t="str">
        <f>IF(distable[[#This Row],[ر.المادة]]&lt;&gt;"",VLOOKUP(distable[[#This Row],[ر.المادة]],sammary[[رمز المادة]:[السعر]],3,FALSE),"")</f>
        <v/>
      </c>
      <c r="F46" s="21"/>
      <c r="G46" s="21"/>
      <c r="H46" s="103" t="str">
        <f>IF(distable[[#This Row],[ر.المادة]]&lt;&gt;"",distable[[#This Row],[الكمية]]*(distable[[#This Row],[السعر الاصلي]]-distable[[#This Row],[السعر بعد الخصم]]),"")</f>
        <v/>
      </c>
    </row>
    <row r="47" spans="1:8" ht="20.100000000000001" customHeight="1">
      <c r="A47" s="102"/>
      <c r="B47" s="21"/>
      <c r="C47" s="21" t="str">
        <f>IF(distable[[#This Row],[ر.المادة]]&lt;&gt;"",VLOOKUP(distable[[#This Row],[ر.المادة]],sammary[[رمز المادة]:[السعر]],2,FALSE),"")</f>
        <v/>
      </c>
      <c r="D47" s="21"/>
      <c r="E47" s="21" t="str">
        <f>IF(distable[[#This Row],[ر.المادة]]&lt;&gt;"",VLOOKUP(distable[[#This Row],[ر.المادة]],sammary[[رمز المادة]:[السعر]],3,FALSE),"")</f>
        <v/>
      </c>
      <c r="F47" s="21"/>
      <c r="G47" s="21"/>
      <c r="H47" s="103" t="str">
        <f>IF(distable[[#This Row],[ر.المادة]]&lt;&gt;"",distable[[#This Row],[الكمية]]*(distable[[#This Row],[السعر الاصلي]]-distable[[#This Row],[السعر بعد الخصم]]),"")</f>
        <v/>
      </c>
    </row>
    <row r="48" spans="1:8" ht="20.100000000000001" customHeight="1">
      <c r="A48" s="102"/>
      <c r="B48" s="21"/>
      <c r="C48" s="21" t="str">
        <f>IF(distable[[#This Row],[ر.المادة]]&lt;&gt;"",VLOOKUP(distable[[#This Row],[ر.المادة]],sammary[[رمز المادة]:[السعر]],2,FALSE),"")</f>
        <v/>
      </c>
      <c r="D48" s="21"/>
      <c r="E48" s="21" t="str">
        <f>IF(distable[[#This Row],[ر.المادة]]&lt;&gt;"",VLOOKUP(distable[[#This Row],[ر.المادة]],sammary[[رمز المادة]:[السعر]],3,FALSE),"")</f>
        <v/>
      </c>
      <c r="F48" s="21"/>
      <c r="G48" s="21"/>
      <c r="H48" s="103" t="str">
        <f>IF(distable[[#This Row],[ر.المادة]]&lt;&gt;"",distable[[#This Row],[الكمية]]*(distable[[#This Row],[السعر الاصلي]]-distable[[#This Row],[السعر بعد الخصم]]),"")</f>
        <v/>
      </c>
    </row>
    <row r="49" spans="1:8" ht="20.100000000000001" customHeight="1">
      <c r="A49" s="102"/>
      <c r="B49" s="21"/>
      <c r="C49" s="21" t="str">
        <f>IF(distable[[#This Row],[ر.المادة]]&lt;&gt;"",VLOOKUP(distable[[#This Row],[ر.المادة]],sammary[[رمز المادة]:[السعر]],2,FALSE),"")</f>
        <v/>
      </c>
      <c r="D49" s="21"/>
      <c r="E49" s="21" t="str">
        <f>IF(distable[[#This Row],[ر.المادة]]&lt;&gt;"",VLOOKUP(distable[[#This Row],[ر.المادة]],sammary[[رمز المادة]:[السعر]],3,FALSE),"")</f>
        <v/>
      </c>
      <c r="F49" s="21"/>
      <c r="G49" s="21"/>
      <c r="H49" s="103" t="str">
        <f>IF(distable[[#This Row],[ر.المادة]]&lt;&gt;"",distable[[#This Row],[الكمية]]*(distable[[#This Row],[السعر الاصلي]]-distable[[#This Row],[السعر بعد الخصم]]),"")</f>
        <v/>
      </c>
    </row>
    <row r="50" spans="1:8" ht="20.100000000000001" customHeight="1">
      <c r="A50" s="102"/>
      <c r="B50" s="21"/>
      <c r="C50" s="21" t="str">
        <f>IF(distable[[#This Row],[ر.المادة]]&lt;&gt;"",VLOOKUP(distable[[#This Row],[ر.المادة]],sammary[[رمز المادة]:[السعر]],2,FALSE),"")</f>
        <v/>
      </c>
      <c r="D50" s="21"/>
      <c r="E50" s="21" t="str">
        <f>IF(distable[[#This Row],[ر.المادة]]&lt;&gt;"",VLOOKUP(distable[[#This Row],[ر.المادة]],sammary[[رمز المادة]:[السعر]],3,FALSE),"")</f>
        <v/>
      </c>
      <c r="F50" s="21"/>
      <c r="G50" s="21"/>
      <c r="H50" s="103" t="str">
        <f>IF(distable[[#This Row],[ر.المادة]]&lt;&gt;"",distable[[#This Row],[الكمية]]*(distable[[#This Row],[السعر الاصلي]]-distable[[#This Row],[السعر بعد الخصم]]),"")</f>
        <v/>
      </c>
    </row>
    <row r="51" spans="1:8" ht="20.100000000000001" customHeight="1">
      <c r="A51" s="102"/>
      <c r="B51" s="21"/>
      <c r="C51" s="21" t="str">
        <f>IF(distable[[#This Row],[ر.المادة]]&lt;&gt;"",VLOOKUP(distable[[#This Row],[ر.المادة]],sammary[[رمز المادة]:[السعر]],2,FALSE),"")</f>
        <v/>
      </c>
      <c r="D51" s="21"/>
      <c r="E51" s="21" t="str">
        <f>IF(distable[[#This Row],[ر.المادة]]&lt;&gt;"",VLOOKUP(distable[[#This Row],[ر.المادة]],sammary[[رمز المادة]:[السعر]],3,FALSE),"")</f>
        <v/>
      </c>
      <c r="F51" s="21"/>
      <c r="G51" s="21"/>
      <c r="H51" s="103" t="str">
        <f>IF(distable[[#This Row],[ر.المادة]]&lt;&gt;"",distable[[#This Row],[الكمية]]*(distable[[#This Row],[السعر الاصلي]]-distable[[#This Row],[السعر بعد الخصم]]),"")</f>
        <v/>
      </c>
    </row>
    <row r="52" spans="1:8" ht="20.100000000000001" customHeight="1">
      <c r="A52" s="102"/>
      <c r="B52" s="21"/>
      <c r="C52" s="21" t="str">
        <f>IF(distable[[#This Row],[ر.المادة]]&lt;&gt;"",VLOOKUP(distable[[#This Row],[ر.المادة]],sammary[[رمز المادة]:[السعر]],2,FALSE),"")</f>
        <v/>
      </c>
      <c r="D52" s="21"/>
      <c r="E52" s="21" t="str">
        <f>IF(distable[[#This Row],[ر.المادة]]&lt;&gt;"",VLOOKUP(distable[[#This Row],[ر.المادة]],sammary[[رمز المادة]:[السعر]],3,FALSE),"")</f>
        <v/>
      </c>
      <c r="F52" s="21"/>
      <c r="G52" s="21"/>
      <c r="H52" s="103" t="str">
        <f>IF(distable[[#This Row],[ر.المادة]]&lt;&gt;"",distable[[#This Row],[الكمية]]*(distable[[#This Row],[السعر الاصلي]]-distable[[#This Row],[السعر بعد الخصم]]),"")</f>
        <v/>
      </c>
    </row>
    <row r="53" spans="1:8" ht="20.100000000000001" customHeight="1">
      <c r="A53" s="102"/>
      <c r="B53" s="21"/>
      <c r="C53" s="21" t="str">
        <f>IF(distable[[#This Row],[ر.المادة]]&lt;&gt;"",VLOOKUP(distable[[#This Row],[ر.المادة]],sammary[[رمز المادة]:[السعر]],2,FALSE),"")</f>
        <v/>
      </c>
      <c r="D53" s="21"/>
      <c r="E53" s="21" t="str">
        <f>IF(distable[[#This Row],[ر.المادة]]&lt;&gt;"",VLOOKUP(distable[[#This Row],[ر.المادة]],sammary[[رمز المادة]:[السعر]],3,FALSE),"")</f>
        <v/>
      </c>
      <c r="F53" s="21"/>
      <c r="G53" s="21"/>
      <c r="H53" s="103" t="str">
        <f>IF(distable[[#This Row],[ر.المادة]]&lt;&gt;"",distable[[#This Row],[الكمية]]*(distable[[#This Row],[السعر الاصلي]]-distable[[#This Row],[السعر بعد الخصم]]),"")</f>
        <v/>
      </c>
    </row>
    <row r="54" spans="1:8" ht="20.100000000000001" customHeight="1">
      <c r="A54" s="102"/>
      <c r="B54" s="21"/>
      <c r="C54" s="21" t="str">
        <f>IF(distable[[#This Row],[ر.المادة]]&lt;&gt;"",VLOOKUP(distable[[#This Row],[ر.المادة]],sammary[[رمز المادة]:[السعر]],2,FALSE),"")</f>
        <v/>
      </c>
      <c r="D54" s="21"/>
      <c r="E54" s="21" t="str">
        <f>IF(distable[[#This Row],[ر.المادة]]&lt;&gt;"",VLOOKUP(distable[[#This Row],[ر.المادة]],sammary[[رمز المادة]:[السعر]],3,FALSE),"")</f>
        <v/>
      </c>
      <c r="F54" s="21"/>
      <c r="G54" s="21"/>
      <c r="H54" s="103" t="str">
        <f>IF(distable[[#This Row],[ر.المادة]]&lt;&gt;"",distable[[#This Row],[الكمية]]*(distable[[#This Row],[السعر الاصلي]]-distable[[#This Row],[السعر بعد الخصم]]),"")</f>
        <v/>
      </c>
    </row>
    <row r="55" spans="1:8" ht="20.100000000000001" customHeight="1">
      <c r="A55" s="102"/>
      <c r="B55" s="21"/>
      <c r="C55" s="21" t="str">
        <f>IF(distable[[#This Row],[ر.المادة]]&lt;&gt;"",VLOOKUP(distable[[#This Row],[ر.المادة]],sammary[[رمز المادة]:[السعر]],2,FALSE),"")</f>
        <v/>
      </c>
      <c r="D55" s="21"/>
      <c r="E55" s="21" t="str">
        <f>IF(distable[[#This Row],[ر.المادة]]&lt;&gt;"",VLOOKUP(distable[[#This Row],[ر.المادة]],sammary[[رمز المادة]:[السعر]],3,FALSE),"")</f>
        <v/>
      </c>
      <c r="F55" s="21"/>
      <c r="G55" s="21"/>
      <c r="H55" s="103" t="str">
        <f>IF(distable[[#This Row],[ر.المادة]]&lt;&gt;"",distable[[#This Row],[الكمية]]*(distable[[#This Row],[السعر الاصلي]]-distable[[#This Row],[السعر بعد الخصم]]),"")</f>
        <v/>
      </c>
    </row>
    <row r="56" spans="1:8" ht="20.100000000000001" customHeight="1">
      <c r="A56" s="102"/>
      <c r="B56" s="21"/>
      <c r="C56" s="21" t="str">
        <f>IF(distable[[#This Row],[ر.المادة]]&lt;&gt;"",VLOOKUP(distable[[#This Row],[ر.المادة]],sammary[[رمز المادة]:[السعر]],2,FALSE),"")</f>
        <v/>
      </c>
      <c r="D56" s="21"/>
      <c r="E56" s="21" t="str">
        <f>IF(distable[[#This Row],[ر.المادة]]&lt;&gt;"",VLOOKUP(distable[[#This Row],[ر.المادة]],sammary[[رمز المادة]:[السعر]],3,FALSE),"")</f>
        <v/>
      </c>
      <c r="F56" s="21"/>
      <c r="G56" s="21"/>
      <c r="H56" s="103" t="str">
        <f>IF(distable[[#This Row],[ر.المادة]]&lt;&gt;"",distable[[#This Row],[الكمية]]*(distable[[#This Row],[السعر الاصلي]]-distable[[#This Row],[السعر بعد الخصم]]),"")</f>
        <v/>
      </c>
    </row>
    <row r="57" spans="1:8" ht="20.100000000000001" customHeight="1">
      <c r="A57" s="102"/>
      <c r="B57" s="21"/>
      <c r="C57" s="21" t="str">
        <f>IF(distable[[#This Row],[ر.المادة]]&lt;&gt;"",VLOOKUP(distable[[#This Row],[ر.المادة]],sammary[[رمز المادة]:[السعر]],2,FALSE),"")</f>
        <v/>
      </c>
      <c r="D57" s="21"/>
      <c r="E57" s="21" t="str">
        <f>IF(distable[[#This Row],[ر.المادة]]&lt;&gt;"",VLOOKUP(distable[[#This Row],[ر.المادة]],sammary[[رمز المادة]:[السعر]],3,FALSE),"")</f>
        <v/>
      </c>
      <c r="F57" s="21"/>
      <c r="G57" s="21"/>
      <c r="H57" s="103" t="str">
        <f>IF(distable[[#This Row],[ر.المادة]]&lt;&gt;"",distable[[#This Row],[الكمية]]*(distable[[#This Row],[السعر الاصلي]]-distable[[#This Row],[السعر بعد الخصم]]),"")</f>
        <v/>
      </c>
    </row>
    <row r="58" spans="1:8" ht="20.100000000000001" customHeight="1">
      <c r="A58" s="102"/>
      <c r="B58" s="21"/>
      <c r="C58" s="21" t="str">
        <f>IF(distable[[#This Row],[ر.المادة]]&lt;&gt;"",VLOOKUP(distable[[#This Row],[ر.المادة]],sammary[[رمز المادة]:[السعر]],2,FALSE),"")</f>
        <v/>
      </c>
      <c r="D58" s="21"/>
      <c r="E58" s="21" t="str">
        <f>IF(distable[[#This Row],[ر.المادة]]&lt;&gt;"",VLOOKUP(distable[[#This Row],[ر.المادة]],sammary[[رمز المادة]:[السعر]],3,FALSE),"")</f>
        <v/>
      </c>
      <c r="F58" s="21"/>
      <c r="G58" s="21"/>
      <c r="H58" s="103" t="str">
        <f>IF(distable[[#This Row],[ر.المادة]]&lt;&gt;"",distable[[#This Row],[الكمية]]*(distable[[#This Row],[السعر الاصلي]]-distable[[#This Row],[السعر بعد الخصم]]),"")</f>
        <v/>
      </c>
    </row>
    <row r="59" spans="1:8" ht="20.100000000000001" customHeight="1">
      <c r="A59" s="102"/>
      <c r="B59" s="21"/>
      <c r="C59" s="21" t="str">
        <f>IF(distable[[#This Row],[ر.المادة]]&lt;&gt;"",VLOOKUP(distable[[#This Row],[ر.المادة]],sammary[[رمز المادة]:[السعر]],2,FALSE),"")</f>
        <v/>
      </c>
      <c r="D59" s="21"/>
      <c r="E59" s="21" t="str">
        <f>IF(distable[[#This Row],[ر.المادة]]&lt;&gt;"",VLOOKUP(distable[[#This Row],[ر.المادة]],sammary[[رمز المادة]:[السعر]],3,FALSE),"")</f>
        <v/>
      </c>
      <c r="F59" s="21"/>
      <c r="G59" s="21"/>
      <c r="H59" s="103" t="str">
        <f>IF(distable[[#This Row],[ر.المادة]]&lt;&gt;"",distable[[#This Row],[الكمية]]*(distable[[#This Row],[السعر الاصلي]]-distable[[#This Row],[السعر بعد الخصم]]),"")</f>
        <v/>
      </c>
    </row>
    <row r="60" spans="1:8" ht="20.100000000000001" customHeight="1">
      <c r="A60" s="102"/>
      <c r="B60" s="21"/>
      <c r="C60" s="21" t="str">
        <f>IF(distable[[#This Row],[ر.المادة]]&lt;&gt;"",VLOOKUP(distable[[#This Row],[ر.المادة]],sammary[[رمز المادة]:[السعر]],2,FALSE),"")</f>
        <v/>
      </c>
      <c r="D60" s="21"/>
      <c r="E60" s="21" t="str">
        <f>IF(distable[[#This Row],[ر.المادة]]&lt;&gt;"",VLOOKUP(distable[[#This Row],[ر.المادة]],sammary[[رمز المادة]:[السعر]],3,FALSE),"")</f>
        <v/>
      </c>
      <c r="F60" s="21"/>
      <c r="G60" s="21"/>
      <c r="H60" s="103" t="str">
        <f>IF(distable[[#This Row],[ر.المادة]]&lt;&gt;"",distable[[#This Row],[الكمية]]*(distable[[#This Row],[السعر الاصلي]]-distable[[#This Row],[السعر بعد الخصم]]),"")</f>
        <v/>
      </c>
    </row>
    <row r="61" spans="1:8" ht="20.100000000000001" customHeight="1">
      <c r="A61" s="102"/>
      <c r="B61" s="21"/>
      <c r="C61" s="21" t="str">
        <f>IF(distable[[#This Row],[ر.المادة]]&lt;&gt;"",VLOOKUP(distable[[#This Row],[ر.المادة]],sammary[[رمز المادة]:[السعر]],2,FALSE),"")</f>
        <v/>
      </c>
      <c r="D61" s="21"/>
      <c r="E61" s="21" t="str">
        <f>IF(distable[[#This Row],[ر.المادة]]&lt;&gt;"",VLOOKUP(distable[[#This Row],[ر.المادة]],sammary[[رمز المادة]:[السعر]],3,FALSE),"")</f>
        <v/>
      </c>
      <c r="F61" s="21"/>
      <c r="G61" s="21"/>
      <c r="H61" s="103" t="str">
        <f>IF(distable[[#This Row],[ر.المادة]]&lt;&gt;"",distable[[#This Row],[الكمية]]*(distable[[#This Row],[السعر الاصلي]]-distable[[#This Row],[السعر بعد الخصم]]),"")</f>
        <v/>
      </c>
    </row>
    <row r="62" spans="1:8" ht="20.100000000000001" customHeight="1">
      <c r="A62" s="102"/>
      <c r="B62" s="21"/>
      <c r="C62" s="21" t="str">
        <f>IF(distable[[#This Row],[ر.المادة]]&lt;&gt;"",VLOOKUP(distable[[#This Row],[ر.المادة]],sammary[[رمز المادة]:[السعر]],2,FALSE),"")</f>
        <v/>
      </c>
      <c r="D62" s="21"/>
      <c r="E62" s="21" t="str">
        <f>IF(distable[[#This Row],[ر.المادة]]&lt;&gt;"",VLOOKUP(distable[[#This Row],[ر.المادة]],sammary[[رمز المادة]:[السعر]],3,FALSE),"")</f>
        <v/>
      </c>
      <c r="F62" s="21"/>
      <c r="G62" s="21"/>
      <c r="H62" s="103" t="str">
        <f>IF(distable[[#This Row],[ر.المادة]]&lt;&gt;"",distable[[#This Row],[الكمية]]*(distable[[#This Row],[السعر الاصلي]]-distable[[#This Row],[السعر بعد الخصم]]),"")</f>
        <v/>
      </c>
    </row>
    <row r="63" spans="1:8" ht="20.100000000000001" customHeight="1">
      <c r="A63" s="102"/>
      <c r="B63" s="21"/>
      <c r="C63" s="21" t="str">
        <f>IF(distable[[#This Row],[ر.المادة]]&lt;&gt;"",VLOOKUP(distable[[#This Row],[ر.المادة]],sammary[[رمز المادة]:[السعر]],2,FALSE),"")</f>
        <v/>
      </c>
      <c r="D63" s="21"/>
      <c r="E63" s="21" t="str">
        <f>IF(distable[[#This Row],[ر.المادة]]&lt;&gt;"",VLOOKUP(distable[[#This Row],[ر.المادة]],sammary[[رمز المادة]:[السعر]],3,FALSE),"")</f>
        <v/>
      </c>
      <c r="F63" s="21"/>
      <c r="G63" s="21"/>
      <c r="H63" s="103" t="str">
        <f>IF(distable[[#This Row],[ر.المادة]]&lt;&gt;"",distable[[#This Row],[الكمية]]*(distable[[#This Row],[السعر الاصلي]]-distable[[#This Row],[السعر بعد الخصم]]),"")</f>
        <v/>
      </c>
    </row>
    <row r="64" spans="1:8" ht="20.100000000000001" customHeight="1">
      <c r="A64" s="102"/>
      <c r="B64" s="21"/>
      <c r="C64" s="21" t="str">
        <f>IF(distable[[#This Row],[ر.المادة]]&lt;&gt;"",VLOOKUP(distable[[#This Row],[ر.المادة]],sammary[[رمز المادة]:[السعر]],2,FALSE),"")</f>
        <v/>
      </c>
      <c r="D64" s="21"/>
      <c r="E64" s="21" t="str">
        <f>IF(distable[[#This Row],[ر.المادة]]&lt;&gt;"",VLOOKUP(distable[[#This Row],[ر.المادة]],sammary[[رمز المادة]:[السعر]],3,FALSE),"")</f>
        <v/>
      </c>
      <c r="F64" s="21"/>
      <c r="G64" s="21"/>
      <c r="H64" s="103" t="str">
        <f>IF(distable[[#This Row],[ر.المادة]]&lt;&gt;"",distable[[#This Row],[الكمية]]*(distable[[#This Row],[السعر الاصلي]]-distable[[#This Row],[السعر بعد الخصم]]),"")</f>
        <v/>
      </c>
    </row>
    <row r="65" spans="1:8" ht="20.100000000000001" customHeight="1">
      <c r="A65" s="102"/>
      <c r="B65" s="21"/>
      <c r="C65" s="21" t="str">
        <f>IF(distable[[#This Row],[ر.المادة]]&lt;&gt;"",VLOOKUP(distable[[#This Row],[ر.المادة]],sammary[[رمز المادة]:[السعر]],2,FALSE),"")</f>
        <v/>
      </c>
      <c r="D65" s="21"/>
      <c r="E65" s="21" t="str">
        <f>IF(distable[[#This Row],[ر.المادة]]&lt;&gt;"",VLOOKUP(distable[[#This Row],[ر.المادة]],sammary[[رمز المادة]:[السعر]],3,FALSE),"")</f>
        <v/>
      </c>
      <c r="F65" s="21"/>
      <c r="G65" s="21"/>
      <c r="H65" s="103" t="str">
        <f>IF(distable[[#This Row],[ر.المادة]]&lt;&gt;"",distable[[#This Row],[الكمية]]*(distable[[#This Row],[السعر الاصلي]]-distable[[#This Row],[السعر بعد الخصم]]),"")</f>
        <v/>
      </c>
    </row>
    <row r="66" spans="1:8" ht="20.100000000000001" customHeight="1">
      <c r="A66" s="102"/>
      <c r="B66" s="21"/>
      <c r="C66" s="21" t="str">
        <f>IF(distable[[#This Row],[ر.المادة]]&lt;&gt;"",VLOOKUP(distable[[#This Row],[ر.المادة]],sammary[[رمز المادة]:[السعر]],2,FALSE),"")</f>
        <v/>
      </c>
      <c r="D66" s="21"/>
      <c r="E66" s="21" t="str">
        <f>IF(distable[[#This Row],[ر.المادة]]&lt;&gt;"",VLOOKUP(distable[[#This Row],[ر.المادة]],sammary[[رمز المادة]:[السعر]],3,FALSE),"")</f>
        <v/>
      </c>
      <c r="F66" s="21"/>
      <c r="G66" s="21"/>
      <c r="H66" s="103" t="str">
        <f>IF(distable[[#This Row],[ر.المادة]]&lt;&gt;"",distable[[#This Row],[الكمية]]*(distable[[#This Row],[السعر الاصلي]]-distable[[#This Row],[السعر بعد الخصم]]),"")</f>
        <v/>
      </c>
    </row>
    <row r="67" spans="1:8" ht="20.100000000000001" customHeight="1">
      <c r="A67" s="102"/>
      <c r="B67" s="21"/>
      <c r="C67" s="21" t="str">
        <f>IF(distable[[#This Row],[ر.المادة]]&lt;&gt;"",VLOOKUP(distable[[#This Row],[ر.المادة]],sammary[[رمز المادة]:[السعر]],2,FALSE),"")</f>
        <v/>
      </c>
      <c r="D67" s="21"/>
      <c r="E67" s="21" t="str">
        <f>IF(distable[[#This Row],[ر.المادة]]&lt;&gt;"",VLOOKUP(distable[[#This Row],[ر.المادة]],sammary[[رمز المادة]:[السعر]],3,FALSE),"")</f>
        <v/>
      </c>
      <c r="F67" s="21"/>
      <c r="G67" s="21"/>
      <c r="H67" s="103" t="str">
        <f>IF(distable[[#This Row],[ر.المادة]]&lt;&gt;"",distable[[#This Row],[الكمية]]*(distable[[#This Row],[السعر الاصلي]]-distable[[#This Row],[السعر بعد الخصم]]),"")</f>
        <v/>
      </c>
    </row>
    <row r="68" spans="1:8" ht="20.100000000000001" customHeight="1">
      <c r="A68" s="102"/>
      <c r="B68" s="21"/>
      <c r="C68" s="21" t="str">
        <f>IF(distable[[#This Row],[ر.المادة]]&lt;&gt;"",VLOOKUP(distable[[#This Row],[ر.المادة]],sammary[[رمز المادة]:[السعر]],2,FALSE),"")</f>
        <v/>
      </c>
      <c r="D68" s="21"/>
      <c r="E68" s="21" t="str">
        <f>IF(distable[[#This Row],[ر.المادة]]&lt;&gt;"",VLOOKUP(distable[[#This Row],[ر.المادة]],sammary[[رمز المادة]:[السعر]],3,FALSE),"")</f>
        <v/>
      </c>
      <c r="F68" s="21"/>
      <c r="G68" s="21"/>
      <c r="H68" s="103" t="str">
        <f>IF(distable[[#This Row],[ر.المادة]]&lt;&gt;"",distable[[#This Row],[الكمية]]*(distable[[#This Row],[السعر الاصلي]]-distable[[#This Row],[السعر بعد الخصم]]),"")</f>
        <v/>
      </c>
    </row>
    <row r="69" spans="1:8" ht="20.100000000000001" customHeight="1">
      <c r="A69" s="102"/>
      <c r="B69" s="21"/>
      <c r="C69" s="21" t="str">
        <f>IF(distable[[#This Row],[ر.المادة]]&lt;&gt;"",VLOOKUP(distable[[#This Row],[ر.المادة]],sammary[[رمز المادة]:[السعر]],2,FALSE),"")</f>
        <v/>
      </c>
      <c r="D69" s="21"/>
      <c r="E69" s="21" t="str">
        <f>IF(distable[[#This Row],[ر.المادة]]&lt;&gt;"",VLOOKUP(distable[[#This Row],[ر.المادة]],sammary[[رمز المادة]:[السعر]],3,FALSE),"")</f>
        <v/>
      </c>
      <c r="F69" s="21"/>
      <c r="G69" s="21"/>
      <c r="H69" s="103" t="str">
        <f>IF(distable[[#This Row],[ر.المادة]]&lt;&gt;"",distable[[#This Row],[الكمية]]*(distable[[#This Row],[السعر الاصلي]]-distable[[#This Row],[السعر بعد الخصم]]),"")</f>
        <v/>
      </c>
    </row>
    <row r="70" spans="1:8" ht="20.100000000000001" customHeight="1">
      <c r="A70" s="102"/>
      <c r="B70" s="21"/>
      <c r="C70" s="21" t="str">
        <f>IF(distable[[#This Row],[ر.المادة]]&lt;&gt;"",VLOOKUP(distable[[#This Row],[ر.المادة]],sammary[[رمز المادة]:[السعر]],2,FALSE),"")</f>
        <v/>
      </c>
      <c r="D70" s="21"/>
      <c r="E70" s="21" t="str">
        <f>IF(distable[[#This Row],[ر.المادة]]&lt;&gt;"",VLOOKUP(distable[[#This Row],[ر.المادة]],sammary[[رمز المادة]:[السعر]],3,FALSE),"")</f>
        <v/>
      </c>
      <c r="F70" s="21"/>
      <c r="G70" s="21"/>
      <c r="H70" s="103" t="str">
        <f>IF(distable[[#This Row],[ر.المادة]]&lt;&gt;"",distable[[#This Row],[الكمية]]*(distable[[#This Row],[السعر الاصلي]]-distable[[#This Row],[السعر بعد الخصم]]),"")</f>
        <v/>
      </c>
    </row>
    <row r="71" spans="1:8" ht="20.100000000000001" customHeight="1">
      <c r="A71" s="102"/>
      <c r="B71" s="21"/>
      <c r="C71" s="21" t="str">
        <f>IF(distable[[#This Row],[ر.المادة]]&lt;&gt;"",VLOOKUP(distable[[#This Row],[ر.المادة]],sammary[[رمز المادة]:[السعر]],2,FALSE),"")</f>
        <v/>
      </c>
      <c r="D71" s="21"/>
      <c r="E71" s="21" t="str">
        <f>IF(distable[[#This Row],[ر.المادة]]&lt;&gt;"",VLOOKUP(distable[[#This Row],[ر.المادة]],sammary[[رمز المادة]:[السعر]],3,FALSE),"")</f>
        <v/>
      </c>
      <c r="F71" s="21"/>
      <c r="G71" s="21"/>
      <c r="H71" s="103" t="str">
        <f>IF(distable[[#This Row],[ر.المادة]]&lt;&gt;"",distable[[#This Row],[الكمية]]*(distable[[#This Row],[السعر الاصلي]]-distable[[#This Row],[السعر بعد الخصم]]),"")</f>
        <v/>
      </c>
    </row>
    <row r="72" spans="1:8" ht="20.100000000000001" customHeight="1">
      <c r="A72" s="102"/>
      <c r="B72" s="21"/>
      <c r="C72" s="21" t="str">
        <f>IF(distable[[#This Row],[ر.المادة]]&lt;&gt;"",VLOOKUP(distable[[#This Row],[ر.المادة]],sammary[[رمز المادة]:[السعر]],2,FALSE),"")</f>
        <v/>
      </c>
      <c r="D72" s="21"/>
      <c r="E72" s="21" t="str">
        <f>IF(distable[[#This Row],[ر.المادة]]&lt;&gt;"",VLOOKUP(distable[[#This Row],[ر.المادة]],sammary[[رمز المادة]:[السعر]],3,FALSE),"")</f>
        <v/>
      </c>
      <c r="F72" s="21"/>
      <c r="G72" s="21"/>
      <c r="H72" s="103" t="str">
        <f>IF(distable[[#This Row],[ر.المادة]]&lt;&gt;"",distable[[#This Row],[الكمية]]*(distable[[#This Row],[السعر الاصلي]]-distable[[#This Row],[السعر بعد الخصم]]),"")</f>
        <v/>
      </c>
    </row>
    <row r="73" spans="1:8" ht="20.100000000000001" customHeight="1">
      <c r="A73" s="102"/>
      <c r="B73" s="21"/>
      <c r="C73" s="21" t="str">
        <f>IF(distable[[#This Row],[ر.المادة]]&lt;&gt;"",VLOOKUP(distable[[#This Row],[ر.المادة]],sammary[[رمز المادة]:[السعر]],2,FALSE),"")</f>
        <v/>
      </c>
      <c r="D73" s="21"/>
      <c r="E73" s="21" t="str">
        <f>IF(distable[[#This Row],[ر.المادة]]&lt;&gt;"",VLOOKUP(distable[[#This Row],[ر.المادة]],sammary[[رمز المادة]:[السعر]],3,FALSE),"")</f>
        <v/>
      </c>
      <c r="F73" s="21"/>
      <c r="G73" s="21"/>
      <c r="H73" s="103" t="str">
        <f>IF(distable[[#This Row],[ر.المادة]]&lt;&gt;"",distable[[#This Row],[الكمية]]*(distable[[#This Row],[السعر الاصلي]]-distable[[#This Row],[السعر بعد الخصم]]),"")</f>
        <v/>
      </c>
    </row>
    <row r="74" spans="1:8" ht="20.100000000000001" customHeight="1">
      <c r="A74" s="102"/>
      <c r="B74" s="21"/>
      <c r="C74" s="21" t="str">
        <f>IF(distable[[#This Row],[ر.المادة]]&lt;&gt;"",VLOOKUP(distable[[#This Row],[ر.المادة]],sammary[[رمز المادة]:[السعر]],2,FALSE),"")</f>
        <v/>
      </c>
      <c r="D74" s="21"/>
      <c r="E74" s="21" t="str">
        <f>IF(distable[[#This Row],[ر.المادة]]&lt;&gt;"",VLOOKUP(distable[[#This Row],[ر.المادة]],sammary[[رمز المادة]:[السعر]],3,FALSE),"")</f>
        <v/>
      </c>
      <c r="F74" s="21"/>
      <c r="G74" s="21"/>
      <c r="H74" s="103" t="str">
        <f>IF(distable[[#This Row],[ر.المادة]]&lt;&gt;"",distable[[#This Row],[الكمية]]*(distable[[#This Row],[السعر الاصلي]]-distable[[#This Row],[السعر بعد الخصم]]),"")</f>
        <v/>
      </c>
    </row>
    <row r="75" spans="1:8" ht="20.100000000000001" customHeight="1">
      <c r="A75" s="102"/>
      <c r="B75" s="21"/>
      <c r="C75" s="21" t="str">
        <f>IF(distable[[#This Row],[ر.المادة]]&lt;&gt;"",VLOOKUP(distable[[#This Row],[ر.المادة]],sammary[[رمز المادة]:[السعر]],2,FALSE),"")</f>
        <v/>
      </c>
      <c r="D75" s="21"/>
      <c r="E75" s="21" t="str">
        <f>IF(distable[[#This Row],[ر.المادة]]&lt;&gt;"",VLOOKUP(distable[[#This Row],[ر.المادة]],sammary[[رمز المادة]:[السعر]],3,FALSE),"")</f>
        <v/>
      </c>
      <c r="F75" s="21"/>
      <c r="G75" s="21"/>
      <c r="H75" s="103" t="str">
        <f>IF(distable[[#This Row],[ر.المادة]]&lt;&gt;"",distable[[#This Row],[الكمية]]*(distable[[#This Row],[السعر الاصلي]]-distable[[#This Row],[السعر بعد الخصم]]),"")</f>
        <v/>
      </c>
    </row>
    <row r="76" spans="1:8" ht="20.100000000000001" customHeight="1">
      <c r="A76" s="102"/>
      <c r="B76" s="21"/>
      <c r="C76" s="21" t="str">
        <f>IF(distable[[#This Row],[ر.المادة]]&lt;&gt;"",VLOOKUP(distable[[#This Row],[ر.المادة]],sammary[[رمز المادة]:[السعر]],2,FALSE),"")</f>
        <v/>
      </c>
      <c r="D76" s="21"/>
      <c r="E76" s="21" t="str">
        <f>IF(distable[[#This Row],[ر.المادة]]&lt;&gt;"",VLOOKUP(distable[[#This Row],[ر.المادة]],sammary[[رمز المادة]:[السعر]],3,FALSE),"")</f>
        <v/>
      </c>
      <c r="F76" s="21"/>
      <c r="G76" s="21"/>
      <c r="H76" s="103" t="str">
        <f>IF(distable[[#This Row],[ر.المادة]]&lt;&gt;"",distable[[#This Row],[الكمية]]*(distable[[#This Row],[السعر الاصلي]]-distable[[#This Row],[السعر بعد الخصم]]),"")</f>
        <v/>
      </c>
    </row>
    <row r="77" spans="1:8" ht="20.100000000000001" customHeight="1">
      <c r="A77" s="102"/>
      <c r="B77" s="21"/>
      <c r="C77" s="21" t="str">
        <f>IF(distable[[#This Row],[ر.المادة]]&lt;&gt;"",VLOOKUP(distable[[#This Row],[ر.المادة]],sammary[[رمز المادة]:[السعر]],2,FALSE),"")</f>
        <v/>
      </c>
      <c r="D77" s="21"/>
      <c r="E77" s="21" t="str">
        <f>IF(distable[[#This Row],[ر.المادة]]&lt;&gt;"",VLOOKUP(distable[[#This Row],[ر.المادة]],sammary[[رمز المادة]:[السعر]],3,FALSE),"")</f>
        <v/>
      </c>
      <c r="F77" s="21"/>
      <c r="G77" s="21"/>
      <c r="H77" s="103" t="str">
        <f>IF(distable[[#This Row],[ر.المادة]]&lt;&gt;"",distable[[#This Row],[الكمية]]*(distable[[#This Row],[السعر الاصلي]]-distable[[#This Row],[السعر بعد الخصم]]),"")</f>
        <v/>
      </c>
    </row>
    <row r="78" spans="1:8" ht="20.100000000000001" customHeight="1">
      <c r="A78" s="102"/>
      <c r="B78" s="21"/>
      <c r="C78" s="21" t="str">
        <f>IF(distable[[#This Row],[ر.المادة]]&lt;&gt;"",VLOOKUP(distable[[#This Row],[ر.المادة]],sammary[[رمز المادة]:[السعر]],2,FALSE),"")</f>
        <v/>
      </c>
      <c r="D78" s="21"/>
      <c r="E78" s="21" t="str">
        <f>IF(distable[[#This Row],[ر.المادة]]&lt;&gt;"",VLOOKUP(distable[[#This Row],[ر.المادة]],sammary[[رمز المادة]:[السعر]],3,FALSE),"")</f>
        <v/>
      </c>
      <c r="F78" s="21"/>
      <c r="G78" s="21"/>
      <c r="H78" s="103" t="str">
        <f>IF(distable[[#This Row],[ر.المادة]]&lt;&gt;"",distable[[#This Row],[الكمية]]*(distable[[#This Row],[السعر الاصلي]]-distable[[#This Row],[السعر بعد الخصم]]),"")</f>
        <v/>
      </c>
    </row>
    <row r="79" spans="1:8" ht="20.100000000000001" customHeight="1">
      <c r="A79" s="102"/>
      <c r="B79" s="21"/>
      <c r="C79" s="21" t="str">
        <f>IF(distable[[#This Row],[ر.المادة]]&lt;&gt;"",VLOOKUP(distable[[#This Row],[ر.المادة]],sammary[[رمز المادة]:[السعر]],2,FALSE),"")</f>
        <v/>
      </c>
      <c r="D79" s="21"/>
      <c r="E79" s="21" t="str">
        <f>IF(distable[[#This Row],[ر.المادة]]&lt;&gt;"",VLOOKUP(distable[[#This Row],[ر.المادة]],sammary[[رمز المادة]:[السعر]],3,FALSE),"")</f>
        <v/>
      </c>
      <c r="F79" s="21"/>
      <c r="G79" s="21"/>
      <c r="H79" s="103" t="str">
        <f>IF(distable[[#This Row],[ر.المادة]]&lt;&gt;"",distable[[#This Row],[الكمية]]*(distable[[#This Row],[السعر الاصلي]]-distable[[#This Row],[السعر بعد الخصم]]),"")</f>
        <v/>
      </c>
    </row>
    <row r="80" spans="1:8" ht="20.100000000000001" customHeight="1">
      <c r="A80" s="102"/>
      <c r="B80" s="21"/>
      <c r="C80" s="21" t="str">
        <f>IF(distable[[#This Row],[ر.المادة]]&lt;&gt;"",VLOOKUP(distable[[#This Row],[ر.المادة]],sammary[[رمز المادة]:[السعر]],2,FALSE),"")</f>
        <v/>
      </c>
      <c r="D80" s="21"/>
      <c r="E80" s="21" t="str">
        <f>IF(distable[[#This Row],[ر.المادة]]&lt;&gt;"",VLOOKUP(distable[[#This Row],[ر.المادة]],sammary[[رمز المادة]:[السعر]],3,FALSE),"")</f>
        <v/>
      </c>
      <c r="F80" s="21"/>
      <c r="G80" s="21"/>
      <c r="H80" s="103" t="str">
        <f>IF(distable[[#This Row],[ر.المادة]]&lt;&gt;"",distable[[#This Row],[الكمية]]*(distable[[#This Row],[السعر الاصلي]]-distable[[#This Row],[السعر بعد الخصم]]),"")</f>
        <v/>
      </c>
    </row>
    <row r="81" spans="1:8" ht="20.100000000000001" customHeight="1">
      <c r="A81" s="102"/>
      <c r="B81" s="21"/>
      <c r="C81" s="21" t="str">
        <f>IF(distable[[#This Row],[ر.المادة]]&lt;&gt;"",VLOOKUP(distable[[#This Row],[ر.المادة]],sammary[[رمز المادة]:[السعر]],2,FALSE),"")</f>
        <v/>
      </c>
      <c r="D81" s="21"/>
      <c r="E81" s="21" t="str">
        <f>IF(distable[[#This Row],[ر.المادة]]&lt;&gt;"",VLOOKUP(distable[[#This Row],[ر.المادة]],sammary[[رمز المادة]:[السعر]],3,FALSE),"")</f>
        <v/>
      </c>
      <c r="F81" s="21"/>
      <c r="G81" s="21"/>
      <c r="H81" s="103" t="str">
        <f>IF(distable[[#This Row],[ر.المادة]]&lt;&gt;"",distable[[#This Row],[الكمية]]*(distable[[#This Row],[السعر الاصلي]]-distable[[#This Row],[السعر بعد الخصم]]),"")</f>
        <v/>
      </c>
    </row>
    <row r="82" spans="1:8" ht="20.100000000000001" customHeight="1">
      <c r="A82" s="102"/>
      <c r="B82" s="21"/>
      <c r="C82" s="21" t="str">
        <f>IF(distable[[#This Row],[ر.المادة]]&lt;&gt;"",VLOOKUP(distable[[#This Row],[ر.المادة]],sammary[[رمز المادة]:[السعر]],2,FALSE),"")</f>
        <v/>
      </c>
      <c r="D82" s="21"/>
      <c r="E82" s="21" t="str">
        <f>IF(distable[[#This Row],[ر.المادة]]&lt;&gt;"",VLOOKUP(distable[[#This Row],[ر.المادة]],sammary[[رمز المادة]:[السعر]],3,FALSE),"")</f>
        <v/>
      </c>
      <c r="F82" s="21"/>
      <c r="G82" s="21"/>
      <c r="H82" s="103" t="str">
        <f>IF(distable[[#This Row],[ر.المادة]]&lt;&gt;"",distable[[#This Row],[الكمية]]*(distable[[#This Row],[السعر الاصلي]]-distable[[#This Row],[السعر بعد الخصم]]),"")</f>
        <v/>
      </c>
    </row>
    <row r="83" spans="1:8" ht="20.100000000000001" customHeight="1">
      <c r="A83" s="102"/>
      <c r="B83" s="21"/>
      <c r="C83" s="21" t="str">
        <f>IF(distable[[#This Row],[ر.المادة]]&lt;&gt;"",VLOOKUP(distable[[#This Row],[ر.المادة]],sammary[[رمز المادة]:[السعر]],2,FALSE),"")</f>
        <v/>
      </c>
      <c r="D83" s="21"/>
      <c r="E83" s="21" t="str">
        <f>IF(distable[[#This Row],[ر.المادة]]&lt;&gt;"",VLOOKUP(distable[[#This Row],[ر.المادة]],sammary[[رمز المادة]:[السعر]],3,FALSE),"")</f>
        <v/>
      </c>
      <c r="F83" s="21"/>
      <c r="G83" s="21"/>
      <c r="H83" s="103" t="str">
        <f>IF(distable[[#This Row],[ر.المادة]]&lt;&gt;"",distable[[#This Row],[الكمية]]*(distable[[#This Row],[السعر الاصلي]]-distable[[#This Row],[السعر بعد الخصم]]),"")</f>
        <v/>
      </c>
    </row>
    <row r="84" spans="1:8" ht="20.100000000000001" customHeight="1">
      <c r="A84" s="102"/>
      <c r="B84" s="21"/>
      <c r="C84" s="21" t="str">
        <f>IF(distable[[#This Row],[ر.المادة]]&lt;&gt;"",VLOOKUP(distable[[#This Row],[ر.المادة]],sammary[[رمز المادة]:[السعر]],2,FALSE),"")</f>
        <v/>
      </c>
      <c r="D84" s="21"/>
      <c r="E84" s="21" t="str">
        <f>IF(distable[[#This Row],[ر.المادة]]&lt;&gt;"",VLOOKUP(distable[[#This Row],[ر.المادة]],sammary[[رمز المادة]:[السعر]],3,FALSE),"")</f>
        <v/>
      </c>
      <c r="F84" s="21"/>
      <c r="G84" s="21"/>
      <c r="H84" s="103" t="str">
        <f>IF(distable[[#This Row],[ر.المادة]]&lt;&gt;"",distable[[#This Row],[الكمية]]*(distable[[#This Row],[السعر الاصلي]]-distable[[#This Row],[السعر بعد الخصم]]),"")</f>
        <v/>
      </c>
    </row>
    <row r="85" spans="1:8" ht="20.100000000000001" customHeight="1">
      <c r="A85" s="102"/>
      <c r="B85" s="21"/>
      <c r="C85" s="21" t="str">
        <f>IF(distable[[#This Row],[ر.المادة]]&lt;&gt;"",VLOOKUP(distable[[#This Row],[ر.المادة]],sammary[[رمز المادة]:[السعر]],2,FALSE),"")</f>
        <v/>
      </c>
      <c r="D85" s="21"/>
      <c r="E85" s="21" t="str">
        <f>IF(distable[[#This Row],[ر.المادة]]&lt;&gt;"",VLOOKUP(distable[[#This Row],[ر.المادة]],sammary[[رمز المادة]:[السعر]],3,FALSE),"")</f>
        <v/>
      </c>
      <c r="F85" s="21"/>
      <c r="G85" s="21"/>
      <c r="H85" s="103" t="str">
        <f>IF(distable[[#This Row],[ر.المادة]]&lt;&gt;"",distable[[#This Row],[الكمية]]*(distable[[#This Row],[السعر الاصلي]]-distable[[#This Row],[السعر بعد الخصم]]),"")</f>
        <v/>
      </c>
    </row>
    <row r="86" spans="1:8" ht="20.100000000000001" customHeight="1">
      <c r="A86" s="102"/>
      <c r="B86" s="21"/>
      <c r="C86" s="21" t="str">
        <f>IF(distable[[#This Row],[ر.المادة]]&lt;&gt;"",VLOOKUP(distable[[#This Row],[ر.المادة]],sammary[[رمز المادة]:[السعر]],2,FALSE),"")</f>
        <v/>
      </c>
      <c r="D86" s="21"/>
      <c r="E86" s="21" t="str">
        <f>IF(distable[[#This Row],[ر.المادة]]&lt;&gt;"",VLOOKUP(distable[[#This Row],[ر.المادة]],sammary[[رمز المادة]:[السعر]],3,FALSE),"")</f>
        <v/>
      </c>
      <c r="F86" s="21"/>
      <c r="G86" s="21"/>
      <c r="H86" s="103" t="str">
        <f>IF(distable[[#This Row],[ر.المادة]]&lt;&gt;"",distable[[#This Row],[الكمية]]*(distable[[#This Row],[السعر الاصلي]]-distable[[#This Row],[السعر بعد الخصم]]),"")</f>
        <v/>
      </c>
    </row>
    <row r="87" spans="1:8" ht="20.100000000000001" customHeight="1">
      <c r="A87" s="102"/>
      <c r="B87" s="21"/>
      <c r="C87" s="21" t="str">
        <f>IF(distable[[#This Row],[ر.المادة]]&lt;&gt;"",VLOOKUP(distable[[#This Row],[ر.المادة]],sammary[[رمز المادة]:[السعر]],2,FALSE),"")</f>
        <v/>
      </c>
      <c r="D87" s="21"/>
      <c r="E87" s="21" t="str">
        <f>IF(distable[[#This Row],[ر.المادة]]&lt;&gt;"",VLOOKUP(distable[[#This Row],[ر.المادة]],sammary[[رمز المادة]:[السعر]],3,FALSE),"")</f>
        <v/>
      </c>
      <c r="F87" s="21"/>
      <c r="G87" s="21"/>
      <c r="H87" s="103" t="str">
        <f>IF(distable[[#This Row],[ر.المادة]]&lt;&gt;"",distable[[#This Row],[الكمية]]*(distable[[#This Row],[السعر الاصلي]]-distable[[#This Row],[السعر بعد الخصم]]),"")</f>
        <v/>
      </c>
    </row>
    <row r="88" spans="1:8" ht="20.100000000000001" customHeight="1">
      <c r="A88" s="102"/>
      <c r="B88" s="21"/>
      <c r="C88" s="21" t="str">
        <f>IF(distable[[#This Row],[ر.المادة]]&lt;&gt;"",VLOOKUP(distable[[#This Row],[ر.المادة]],sammary[[رمز المادة]:[السعر]],2,FALSE),"")</f>
        <v/>
      </c>
      <c r="D88" s="21"/>
      <c r="E88" s="21" t="str">
        <f>IF(distable[[#This Row],[ر.المادة]]&lt;&gt;"",VLOOKUP(distable[[#This Row],[ر.المادة]],sammary[[رمز المادة]:[السعر]],3,FALSE),"")</f>
        <v/>
      </c>
      <c r="F88" s="21"/>
      <c r="G88" s="21"/>
      <c r="H88" s="103" t="str">
        <f>IF(distable[[#This Row],[ر.المادة]]&lt;&gt;"",distable[[#This Row],[الكمية]]*(distable[[#This Row],[السعر الاصلي]]-distable[[#This Row],[السعر بعد الخصم]]),"")</f>
        <v/>
      </c>
    </row>
    <row r="89" spans="1:8" ht="20.100000000000001" customHeight="1">
      <c r="A89" s="102"/>
      <c r="B89" s="21"/>
      <c r="C89" s="21" t="str">
        <f>IF(distable[[#This Row],[ر.المادة]]&lt;&gt;"",VLOOKUP(distable[[#This Row],[ر.المادة]],sammary[[رمز المادة]:[السعر]],2,FALSE),"")</f>
        <v/>
      </c>
      <c r="D89" s="21"/>
      <c r="E89" s="21" t="str">
        <f>IF(distable[[#This Row],[ر.المادة]]&lt;&gt;"",VLOOKUP(distable[[#This Row],[ر.المادة]],sammary[[رمز المادة]:[السعر]],3,FALSE),"")</f>
        <v/>
      </c>
      <c r="F89" s="21"/>
      <c r="G89" s="21"/>
      <c r="H89" s="103" t="str">
        <f>IF(distable[[#This Row],[ر.المادة]]&lt;&gt;"",distable[[#This Row],[الكمية]]*(distable[[#This Row],[السعر الاصلي]]-distable[[#This Row],[السعر بعد الخصم]]),"")</f>
        <v/>
      </c>
    </row>
    <row r="90" spans="1:8" ht="20.100000000000001" customHeight="1">
      <c r="A90" s="102"/>
      <c r="B90" s="21"/>
      <c r="C90" s="21" t="str">
        <f>IF(distable[[#This Row],[ر.المادة]]&lt;&gt;"",VLOOKUP(distable[[#This Row],[ر.المادة]],sammary[[رمز المادة]:[السعر]],2,FALSE),"")</f>
        <v/>
      </c>
      <c r="D90" s="21"/>
      <c r="E90" s="21" t="str">
        <f>IF(distable[[#This Row],[ر.المادة]]&lt;&gt;"",VLOOKUP(distable[[#This Row],[ر.المادة]],sammary[[رمز المادة]:[السعر]],3,FALSE),"")</f>
        <v/>
      </c>
      <c r="F90" s="21"/>
      <c r="G90" s="21"/>
      <c r="H90" s="103" t="str">
        <f>IF(distable[[#This Row],[ر.المادة]]&lt;&gt;"",distable[[#This Row],[الكمية]]*(distable[[#This Row],[السعر الاصلي]]-distable[[#This Row],[السعر بعد الخصم]]),"")</f>
        <v/>
      </c>
    </row>
    <row r="91" spans="1:8" ht="20.100000000000001" customHeight="1">
      <c r="A91" s="102"/>
      <c r="B91" s="21"/>
      <c r="C91" s="21" t="str">
        <f>IF(distable[[#This Row],[ر.المادة]]&lt;&gt;"",VLOOKUP(distable[[#This Row],[ر.المادة]],sammary[[رمز المادة]:[السعر]],2,FALSE),"")</f>
        <v/>
      </c>
      <c r="D91" s="21"/>
      <c r="E91" s="21" t="str">
        <f>IF(distable[[#This Row],[ر.المادة]]&lt;&gt;"",VLOOKUP(distable[[#This Row],[ر.المادة]],sammary[[رمز المادة]:[السعر]],3,FALSE),"")</f>
        <v/>
      </c>
      <c r="F91" s="21"/>
      <c r="G91" s="21"/>
      <c r="H91" s="103" t="str">
        <f>IF(distable[[#This Row],[ر.المادة]]&lt;&gt;"",distable[[#This Row],[الكمية]]*(distable[[#This Row],[السعر الاصلي]]-distable[[#This Row],[السعر بعد الخصم]]),"")</f>
        <v/>
      </c>
    </row>
    <row r="92" spans="1:8" ht="20.100000000000001" customHeight="1">
      <c r="A92" s="102"/>
      <c r="B92" s="21"/>
      <c r="C92" s="21" t="str">
        <f>IF(distable[[#This Row],[ر.المادة]]&lt;&gt;"",VLOOKUP(distable[[#This Row],[ر.المادة]],sammary[[رمز المادة]:[السعر]],2,FALSE),"")</f>
        <v/>
      </c>
      <c r="D92" s="21"/>
      <c r="E92" s="21" t="str">
        <f>IF(distable[[#This Row],[ر.المادة]]&lt;&gt;"",VLOOKUP(distable[[#This Row],[ر.المادة]],sammary[[رمز المادة]:[السعر]],3,FALSE),"")</f>
        <v/>
      </c>
      <c r="F92" s="21"/>
      <c r="G92" s="21"/>
      <c r="H92" s="103" t="str">
        <f>IF(distable[[#This Row],[ر.المادة]]&lt;&gt;"",distable[[#This Row],[الكمية]]*(distable[[#This Row],[السعر الاصلي]]-distable[[#This Row],[السعر بعد الخصم]]),"")</f>
        <v/>
      </c>
    </row>
    <row r="93" spans="1:8" ht="20.100000000000001" customHeight="1">
      <c r="A93" s="102"/>
      <c r="B93" s="21"/>
      <c r="C93" s="21" t="str">
        <f>IF(distable[[#This Row],[ر.المادة]]&lt;&gt;"",VLOOKUP(distable[[#This Row],[ر.المادة]],sammary[[رمز المادة]:[السعر]],2,FALSE),"")</f>
        <v/>
      </c>
      <c r="D93" s="21"/>
      <c r="E93" s="21" t="str">
        <f>IF(distable[[#This Row],[ر.المادة]]&lt;&gt;"",VLOOKUP(distable[[#This Row],[ر.المادة]],sammary[[رمز المادة]:[السعر]],3,FALSE),"")</f>
        <v/>
      </c>
      <c r="F93" s="21"/>
      <c r="G93" s="21"/>
      <c r="H93" s="103" t="str">
        <f>IF(distable[[#This Row],[ر.المادة]]&lt;&gt;"",distable[[#This Row],[الكمية]]*(distable[[#This Row],[السعر الاصلي]]-distable[[#This Row],[السعر بعد الخصم]]),"")</f>
        <v/>
      </c>
    </row>
    <row r="94" spans="1:8" ht="20.100000000000001" customHeight="1">
      <c r="A94" s="102"/>
      <c r="B94" s="21"/>
      <c r="C94" s="21" t="str">
        <f>IF(distable[[#This Row],[ر.المادة]]&lt;&gt;"",VLOOKUP(distable[[#This Row],[ر.المادة]],sammary[[رمز المادة]:[السعر]],2,FALSE),"")</f>
        <v/>
      </c>
      <c r="D94" s="21"/>
      <c r="E94" s="21" t="str">
        <f>IF(distable[[#This Row],[ر.المادة]]&lt;&gt;"",VLOOKUP(distable[[#This Row],[ر.المادة]],sammary[[رمز المادة]:[السعر]],3,FALSE),"")</f>
        <v/>
      </c>
      <c r="F94" s="21"/>
      <c r="G94" s="21"/>
      <c r="H94" s="103" t="str">
        <f>IF(distable[[#This Row],[ر.المادة]]&lt;&gt;"",distable[[#This Row],[الكمية]]*(distable[[#This Row],[السعر الاصلي]]-distable[[#This Row],[السعر بعد الخصم]]),"")</f>
        <v/>
      </c>
    </row>
    <row r="95" spans="1:8" ht="20.100000000000001" customHeight="1">
      <c r="A95" s="102"/>
      <c r="B95" s="21"/>
      <c r="C95" s="21" t="str">
        <f>IF(distable[[#This Row],[ر.المادة]]&lt;&gt;"",VLOOKUP(distable[[#This Row],[ر.المادة]],sammary[[رمز المادة]:[السعر]],2,FALSE),"")</f>
        <v/>
      </c>
      <c r="D95" s="21"/>
      <c r="E95" s="21" t="str">
        <f>IF(distable[[#This Row],[ر.المادة]]&lt;&gt;"",VLOOKUP(distable[[#This Row],[ر.المادة]],sammary[[رمز المادة]:[السعر]],3,FALSE),"")</f>
        <v/>
      </c>
      <c r="F95" s="21"/>
      <c r="G95" s="21"/>
      <c r="H95" s="103" t="str">
        <f>IF(distable[[#This Row],[ر.المادة]]&lt;&gt;"",distable[[#This Row],[الكمية]]*(distable[[#This Row],[السعر الاصلي]]-distable[[#This Row],[السعر بعد الخصم]]),"")</f>
        <v/>
      </c>
    </row>
    <row r="96" spans="1:8" ht="20.100000000000001" customHeight="1">
      <c r="A96" s="102"/>
      <c r="B96" s="21"/>
      <c r="C96" s="21" t="str">
        <f>IF(distable[[#This Row],[ر.المادة]]&lt;&gt;"",VLOOKUP(distable[[#This Row],[ر.المادة]],sammary[[رمز المادة]:[السعر]],2,FALSE),"")</f>
        <v/>
      </c>
      <c r="D96" s="21"/>
      <c r="E96" s="21" t="str">
        <f>IF(distable[[#This Row],[ر.المادة]]&lt;&gt;"",VLOOKUP(distable[[#This Row],[ر.المادة]],sammary[[رمز المادة]:[السعر]],3,FALSE),"")</f>
        <v/>
      </c>
      <c r="F96" s="21"/>
      <c r="G96" s="21"/>
      <c r="H96" s="103" t="str">
        <f>IF(distable[[#This Row],[ر.المادة]]&lt;&gt;"",distable[[#This Row],[الكمية]]*(distable[[#This Row],[السعر الاصلي]]-distable[[#This Row],[السعر بعد الخصم]]),"")</f>
        <v/>
      </c>
    </row>
    <row r="97" spans="1:8" ht="20.100000000000001" customHeight="1">
      <c r="A97" s="102"/>
      <c r="B97" s="21"/>
      <c r="C97" s="21" t="str">
        <f>IF(distable[[#This Row],[ر.المادة]]&lt;&gt;"",VLOOKUP(distable[[#This Row],[ر.المادة]],sammary[[رمز المادة]:[السعر]],2,FALSE),"")</f>
        <v/>
      </c>
      <c r="D97" s="21"/>
      <c r="E97" s="21" t="str">
        <f>IF(distable[[#This Row],[ر.المادة]]&lt;&gt;"",VLOOKUP(distable[[#This Row],[ر.المادة]],sammary[[رمز المادة]:[السعر]],3,FALSE),"")</f>
        <v/>
      </c>
      <c r="F97" s="21"/>
      <c r="G97" s="21"/>
      <c r="H97" s="103" t="str">
        <f>IF(distable[[#This Row],[ر.المادة]]&lt;&gt;"",distable[[#This Row],[الكمية]]*(distable[[#This Row],[السعر الاصلي]]-distable[[#This Row],[السعر بعد الخصم]]),"")</f>
        <v/>
      </c>
    </row>
    <row r="98" spans="1:8" ht="20.100000000000001" customHeight="1">
      <c r="A98" s="102"/>
      <c r="B98" s="21"/>
      <c r="C98" s="21" t="str">
        <f>IF(distable[[#This Row],[ر.المادة]]&lt;&gt;"",VLOOKUP(distable[[#This Row],[ر.المادة]],sammary[[رمز المادة]:[السعر]],2,FALSE),"")</f>
        <v/>
      </c>
      <c r="D98" s="21"/>
      <c r="E98" s="21" t="str">
        <f>IF(distable[[#This Row],[ر.المادة]]&lt;&gt;"",VLOOKUP(distable[[#This Row],[ر.المادة]],sammary[[رمز المادة]:[السعر]],3,FALSE),"")</f>
        <v/>
      </c>
      <c r="F98" s="21"/>
      <c r="G98" s="21"/>
      <c r="H98" s="103" t="str">
        <f>IF(distable[[#This Row],[ر.المادة]]&lt;&gt;"",distable[[#This Row],[الكمية]]*(distable[[#This Row],[السعر الاصلي]]-distable[[#This Row],[السعر بعد الخصم]]),"")</f>
        <v/>
      </c>
    </row>
    <row r="99" spans="1:8" ht="20.100000000000001" customHeight="1">
      <c r="A99" s="102"/>
      <c r="B99" s="21"/>
      <c r="C99" s="21" t="str">
        <f>IF(distable[[#This Row],[ر.المادة]]&lt;&gt;"",VLOOKUP(distable[[#This Row],[ر.المادة]],sammary[[رمز المادة]:[السعر]],2,FALSE),"")</f>
        <v/>
      </c>
      <c r="D99" s="21"/>
      <c r="E99" s="21" t="str">
        <f>IF(distable[[#This Row],[ر.المادة]]&lt;&gt;"",VLOOKUP(distable[[#This Row],[ر.المادة]],sammary[[رمز المادة]:[السعر]],3,FALSE),"")</f>
        <v/>
      </c>
      <c r="F99" s="21"/>
      <c r="G99" s="21"/>
      <c r="H99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0" spans="1:8" ht="20.100000000000001" customHeight="1">
      <c r="A100" s="102"/>
      <c r="B100" s="21"/>
      <c r="C100" s="21" t="str">
        <f>IF(distable[[#This Row],[ر.المادة]]&lt;&gt;"",VLOOKUP(distable[[#This Row],[ر.المادة]],sammary[[رمز المادة]:[السعر]],2,FALSE),"")</f>
        <v/>
      </c>
      <c r="D100" s="21"/>
      <c r="E100" s="21" t="str">
        <f>IF(distable[[#This Row],[ر.المادة]]&lt;&gt;"",VLOOKUP(distable[[#This Row],[ر.المادة]],sammary[[رمز المادة]:[السعر]],3,FALSE),"")</f>
        <v/>
      </c>
      <c r="F100" s="21"/>
      <c r="G100" s="21"/>
      <c r="H100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1" spans="1:8" ht="20.100000000000001" customHeight="1">
      <c r="A101" s="102"/>
      <c r="B101" s="21"/>
      <c r="C101" s="21" t="str">
        <f>IF(distable[[#This Row],[ر.المادة]]&lt;&gt;"",VLOOKUP(distable[[#This Row],[ر.المادة]],sammary[[رمز المادة]:[السعر]],2,FALSE),"")</f>
        <v/>
      </c>
      <c r="D101" s="21"/>
      <c r="E101" s="21" t="str">
        <f>IF(distable[[#This Row],[ر.المادة]]&lt;&gt;"",VLOOKUP(distable[[#This Row],[ر.المادة]],sammary[[رمز المادة]:[السعر]],3,FALSE),"")</f>
        <v/>
      </c>
      <c r="F101" s="21"/>
      <c r="G101" s="21"/>
      <c r="H101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2" spans="1:8" ht="20.100000000000001" customHeight="1">
      <c r="A102" s="102"/>
      <c r="B102" s="21"/>
      <c r="C102" s="21" t="str">
        <f>IF(distable[[#This Row],[ر.المادة]]&lt;&gt;"",VLOOKUP(distable[[#This Row],[ر.المادة]],sammary[[رمز المادة]:[السعر]],2,FALSE),"")</f>
        <v/>
      </c>
      <c r="D102" s="21"/>
      <c r="E102" s="21" t="str">
        <f>IF(distable[[#This Row],[ر.المادة]]&lt;&gt;"",VLOOKUP(distable[[#This Row],[ر.المادة]],sammary[[رمز المادة]:[السعر]],3,FALSE),"")</f>
        <v/>
      </c>
      <c r="F102" s="21"/>
      <c r="G102" s="21"/>
      <c r="H102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3" spans="1:8" ht="20.100000000000001" customHeight="1">
      <c r="A103" s="102"/>
      <c r="B103" s="21"/>
      <c r="C103" s="21" t="str">
        <f>IF(distable[[#This Row],[ر.المادة]]&lt;&gt;"",VLOOKUP(distable[[#This Row],[ر.المادة]],sammary[[رمز المادة]:[السعر]],2,FALSE),"")</f>
        <v/>
      </c>
      <c r="D103" s="21"/>
      <c r="E103" s="21" t="str">
        <f>IF(distable[[#This Row],[ر.المادة]]&lt;&gt;"",VLOOKUP(distable[[#This Row],[ر.المادة]],sammary[[رمز المادة]:[السعر]],3,FALSE),"")</f>
        <v/>
      </c>
      <c r="F103" s="21"/>
      <c r="G103" s="21"/>
      <c r="H103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4" spans="1:8" ht="20.100000000000001" customHeight="1">
      <c r="A104" s="102"/>
      <c r="B104" s="21"/>
      <c r="C104" s="21" t="str">
        <f>IF(distable[[#This Row],[ر.المادة]]&lt;&gt;"",VLOOKUP(distable[[#This Row],[ر.المادة]],sammary[[رمز المادة]:[السعر]],2,FALSE),"")</f>
        <v/>
      </c>
      <c r="D104" s="21"/>
      <c r="E104" s="21" t="str">
        <f>IF(distable[[#This Row],[ر.المادة]]&lt;&gt;"",VLOOKUP(distable[[#This Row],[ر.المادة]],sammary[[رمز المادة]:[السعر]],3,FALSE),"")</f>
        <v/>
      </c>
      <c r="F104" s="21"/>
      <c r="G104" s="21"/>
      <c r="H104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5" spans="1:8" ht="20.100000000000001" customHeight="1">
      <c r="A105" s="102"/>
      <c r="B105" s="21"/>
      <c r="C105" s="21" t="str">
        <f>IF(distable[[#This Row],[ر.المادة]]&lt;&gt;"",VLOOKUP(distable[[#This Row],[ر.المادة]],sammary[[رمز المادة]:[السعر]],2,FALSE),"")</f>
        <v/>
      </c>
      <c r="D105" s="21"/>
      <c r="E105" s="21" t="str">
        <f>IF(distable[[#This Row],[ر.المادة]]&lt;&gt;"",VLOOKUP(distable[[#This Row],[ر.المادة]],sammary[[رمز المادة]:[السعر]],3,FALSE),"")</f>
        <v/>
      </c>
      <c r="F105" s="21"/>
      <c r="G105" s="21"/>
      <c r="H105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6" spans="1:8" ht="20.100000000000001" customHeight="1">
      <c r="A106" s="102"/>
      <c r="B106" s="21"/>
      <c r="C106" s="21" t="str">
        <f>IF(distable[[#This Row],[ر.المادة]]&lt;&gt;"",VLOOKUP(distable[[#This Row],[ر.المادة]],sammary[[رمز المادة]:[السعر]],2,FALSE),"")</f>
        <v/>
      </c>
      <c r="D106" s="21"/>
      <c r="E106" s="21" t="str">
        <f>IF(distable[[#This Row],[ر.المادة]]&lt;&gt;"",VLOOKUP(distable[[#This Row],[ر.المادة]],sammary[[رمز المادة]:[السعر]],3,FALSE),"")</f>
        <v/>
      </c>
      <c r="F106" s="21"/>
      <c r="G106" s="21"/>
      <c r="H106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7" spans="1:8" ht="20.100000000000001" customHeight="1">
      <c r="A107" s="102"/>
      <c r="B107" s="21"/>
      <c r="C107" s="21" t="str">
        <f>IF(distable[[#This Row],[ر.المادة]]&lt;&gt;"",VLOOKUP(distable[[#This Row],[ر.المادة]],sammary[[رمز المادة]:[السعر]],2,FALSE),"")</f>
        <v/>
      </c>
      <c r="D107" s="21"/>
      <c r="E107" s="21" t="str">
        <f>IF(distable[[#This Row],[ر.المادة]]&lt;&gt;"",VLOOKUP(distable[[#This Row],[ر.المادة]],sammary[[رمز المادة]:[السعر]],3,FALSE),"")</f>
        <v/>
      </c>
      <c r="F107" s="21"/>
      <c r="G107" s="21"/>
      <c r="H107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8" spans="1:8" ht="20.100000000000001" customHeight="1">
      <c r="A108" s="102"/>
      <c r="B108" s="21"/>
      <c r="C108" s="21" t="str">
        <f>IF(distable[[#This Row],[ر.المادة]]&lt;&gt;"",VLOOKUP(distable[[#This Row],[ر.المادة]],sammary[[رمز المادة]:[السعر]],2,FALSE),"")</f>
        <v/>
      </c>
      <c r="D108" s="21"/>
      <c r="E108" s="21" t="str">
        <f>IF(distable[[#This Row],[ر.المادة]]&lt;&gt;"",VLOOKUP(distable[[#This Row],[ر.المادة]],sammary[[رمز المادة]:[السعر]],3,FALSE),"")</f>
        <v/>
      </c>
      <c r="F108" s="21"/>
      <c r="G108" s="21"/>
      <c r="H108" s="103" t="str">
        <f>IF(distable[[#This Row],[ر.المادة]]&lt;&gt;"",distable[[#This Row],[الكمية]]*(distable[[#This Row],[السعر الاصلي]]-distable[[#This Row],[السعر بعد الخصم]]),"")</f>
        <v/>
      </c>
    </row>
    <row r="109" spans="1:8" ht="20.100000000000001" customHeight="1">
      <c r="A109" s="102"/>
      <c r="B109" s="21"/>
      <c r="C109" s="21" t="str">
        <f>IF(distable[[#This Row],[ر.المادة]]&lt;&gt;"",VLOOKUP(distable[[#This Row],[ر.المادة]],sammary[[رمز المادة]:[السعر]],2,FALSE),"")</f>
        <v/>
      </c>
      <c r="D109" s="21"/>
      <c r="E109" s="21" t="str">
        <f>IF(distable[[#This Row],[ر.المادة]]&lt;&gt;"",VLOOKUP(distable[[#This Row],[ر.المادة]],sammary[[رمز المادة]:[السعر]],3,FALSE),"")</f>
        <v/>
      </c>
      <c r="F109" s="21"/>
      <c r="G109" s="21"/>
      <c r="H109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0" spans="1:8" ht="20.100000000000001" customHeight="1">
      <c r="A110" s="102"/>
      <c r="B110" s="21"/>
      <c r="C110" s="21" t="str">
        <f>IF(distable[[#This Row],[ر.المادة]]&lt;&gt;"",VLOOKUP(distable[[#This Row],[ر.المادة]],sammary[[رمز المادة]:[السعر]],2,FALSE),"")</f>
        <v/>
      </c>
      <c r="D110" s="21"/>
      <c r="E110" s="21" t="str">
        <f>IF(distable[[#This Row],[ر.المادة]]&lt;&gt;"",VLOOKUP(distable[[#This Row],[ر.المادة]],sammary[[رمز المادة]:[السعر]],3,FALSE),"")</f>
        <v/>
      </c>
      <c r="F110" s="21"/>
      <c r="G110" s="21"/>
      <c r="H110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1" spans="1:8" ht="20.100000000000001" customHeight="1">
      <c r="A111" s="102"/>
      <c r="B111" s="21"/>
      <c r="C111" s="21" t="str">
        <f>IF(distable[[#This Row],[ر.المادة]]&lt;&gt;"",VLOOKUP(distable[[#This Row],[ر.المادة]],sammary[[رمز المادة]:[السعر]],2,FALSE),"")</f>
        <v/>
      </c>
      <c r="D111" s="21"/>
      <c r="E111" s="21" t="str">
        <f>IF(distable[[#This Row],[ر.المادة]]&lt;&gt;"",VLOOKUP(distable[[#This Row],[ر.المادة]],sammary[[رمز المادة]:[السعر]],3,FALSE),"")</f>
        <v/>
      </c>
      <c r="F111" s="21"/>
      <c r="G111" s="21"/>
      <c r="H111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2" spans="1:8" ht="20.100000000000001" customHeight="1">
      <c r="A112" s="102"/>
      <c r="B112" s="21"/>
      <c r="C112" s="21" t="str">
        <f>IF(distable[[#This Row],[ر.المادة]]&lt;&gt;"",VLOOKUP(distable[[#This Row],[ر.المادة]],sammary[[رمز المادة]:[السعر]],2,FALSE),"")</f>
        <v/>
      </c>
      <c r="D112" s="21"/>
      <c r="E112" s="21" t="str">
        <f>IF(distable[[#This Row],[ر.المادة]]&lt;&gt;"",VLOOKUP(distable[[#This Row],[ر.المادة]],sammary[[رمز المادة]:[السعر]],3,FALSE),"")</f>
        <v/>
      </c>
      <c r="F112" s="21"/>
      <c r="G112" s="21"/>
      <c r="H112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3" spans="1:8" ht="20.100000000000001" customHeight="1">
      <c r="A113" s="102"/>
      <c r="B113" s="21"/>
      <c r="C113" s="21" t="str">
        <f>IF(distable[[#This Row],[ر.المادة]]&lt;&gt;"",VLOOKUP(distable[[#This Row],[ر.المادة]],sammary[[رمز المادة]:[السعر]],2,FALSE),"")</f>
        <v/>
      </c>
      <c r="D113" s="21"/>
      <c r="E113" s="21" t="str">
        <f>IF(distable[[#This Row],[ر.المادة]]&lt;&gt;"",VLOOKUP(distable[[#This Row],[ر.المادة]],sammary[[رمز المادة]:[السعر]],3,FALSE),"")</f>
        <v/>
      </c>
      <c r="F113" s="21"/>
      <c r="G113" s="21"/>
      <c r="H113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4" spans="1:8" ht="20.100000000000001" customHeight="1">
      <c r="A114" s="102"/>
      <c r="B114" s="21"/>
      <c r="C114" s="21" t="str">
        <f>IF(distable[[#This Row],[ر.المادة]]&lt;&gt;"",VLOOKUP(distable[[#This Row],[ر.المادة]],sammary[[رمز المادة]:[السعر]],2,FALSE),"")</f>
        <v/>
      </c>
      <c r="D114" s="21"/>
      <c r="E114" s="21" t="str">
        <f>IF(distable[[#This Row],[ر.المادة]]&lt;&gt;"",VLOOKUP(distable[[#This Row],[ر.المادة]],sammary[[رمز المادة]:[السعر]],3,FALSE),"")</f>
        <v/>
      </c>
      <c r="F114" s="21"/>
      <c r="G114" s="21"/>
      <c r="H114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5" spans="1:8" ht="20.100000000000001" customHeight="1">
      <c r="A115" s="102"/>
      <c r="B115" s="21"/>
      <c r="C115" s="21" t="str">
        <f>IF(distable[[#This Row],[ر.المادة]]&lt;&gt;"",VLOOKUP(distable[[#This Row],[ر.المادة]],sammary[[رمز المادة]:[السعر]],2,FALSE),"")</f>
        <v/>
      </c>
      <c r="D115" s="21"/>
      <c r="E115" s="21" t="str">
        <f>IF(distable[[#This Row],[ر.المادة]]&lt;&gt;"",VLOOKUP(distable[[#This Row],[ر.المادة]],sammary[[رمز المادة]:[السعر]],3,FALSE),"")</f>
        <v/>
      </c>
      <c r="F115" s="21"/>
      <c r="G115" s="21"/>
      <c r="H115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6" spans="1:8" ht="20.100000000000001" customHeight="1">
      <c r="A116" s="102"/>
      <c r="B116" s="21"/>
      <c r="C116" s="21" t="str">
        <f>IF(distable[[#This Row],[ر.المادة]]&lt;&gt;"",VLOOKUP(distable[[#This Row],[ر.المادة]],sammary[[رمز المادة]:[السعر]],2,FALSE),"")</f>
        <v/>
      </c>
      <c r="D116" s="21"/>
      <c r="E116" s="21" t="str">
        <f>IF(distable[[#This Row],[ر.المادة]]&lt;&gt;"",VLOOKUP(distable[[#This Row],[ر.المادة]],sammary[[رمز المادة]:[السعر]],3,FALSE),"")</f>
        <v/>
      </c>
      <c r="F116" s="21"/>
      <c r="G116" s="21"/>
      <c r="H116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7" spans="1:8" ht="20.100000000000001" customHeight="1">
      <c r="A117" s="102"/>
      <c r="B117" s="21"/>
      <c r="C117" s="21" t="str">
        <f>IF(distable[[#This Row],[ر.المادة]]&lt;&gt;"",VLOOKUP(distable[[#This Row],[ر.المادة]],sammary[[رمز المادة]:[السعر]],2,FALSE),"")</f>
        <v/>
      </c>
      <c r="D117" s="21"/>
      <c r="E117" s="21" t="str">
        <f>IF(distable[[#This Row],[ر.المادة]]&lt;&gt;"",VLOOKUP(distable[[#This Row],[ر.المادة]],sammary[[رمز المادة]:[السعر]],3,FALSE),"")</f>
        <v/>
      </c>
      <c r="F117" s="21"/>
      <c r="G117" s="21"/>
      <c r="H117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8" spans="1:8" ht="20.100000000000001" customHeight="1">
      <c r="A118" s="102"/>
      <c r="B118" s="21"/>
      <c r="C118" s="21" t="str">
        <f>IF(distable[[#This Row],[ر.المادة]]&lt;&gt;"",VLOOKUP(distable[[#This Row],[ر.المادة]],sammary[[رمز المادة]:[السعر]],2,FALSE),"")</f>
        <v/>
      </c>
      <c r="D118" s="21"/>
      <c r="E118" s="21" t="str">
        <f>IF(distable[[#This Row],[ر.المادة]]&lt;&gt;"",VLOOKUP(distable[[#This Row],[ر.المادة]],sammary[[رمز المادة]:[السعر]],3,FALSE),"")</f>
        <v/>
      </c>
      <c r="F118" s="21"/>
      <c r="G118" s="21"/>
      <c r="H118" s="103" t="str">
        <f>IF(distable[[#This Row],[ر.المادة]]&lt;&gt;"",distable[[#This Row],[الكمية]]*(distable[[#This Row],[السعر الاصلي]]-distable[[#This Row],[السعر بعد الخصم]]),"")</f>
        <v/>
      </c>
    </row>
    <row r="119" spans="1:8" ht="20.100000000000001" customHeight="1">
      <c r="A119" s="102"/>
      <c r="B119" s="21"/>
      <c r="C119" s="21" t="str">
        <f>IF(distable[[#This Row],[ر.المادة]]&lt;&gt;"",VLOOKUP(distable[[#This Row],[ر.المادة]],sammary[[رمز المادة]:[السعر]],2,FALSE),"")</f>
        <v/>
      </c>
      <c r="D119" s="21"/>
      <c r="E119" s="21" t="str">
        <f>IF(distable[[#This Row],[ر.المادة]]&lt;&gt;"",VLOOKUP(distable[[#This Row],[ر.المادة]],sammary[[رمز المادة]:[السعر]],3,FALSE),"")</f>
        <v/>
      </c>
      <c r="F119" s="21"/>
      <c r="G119" s="21"/>
      <c r="H119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0" spans="1:8" ht="20.100000000000001" customHeight="1">
      <c r="A120" s="102"/>
      <c r="B120" s="21"/>
      <c r="C120" s="21" t="str">
        <f>IF(distable[[#This Row],[ر.المادة]]&lt;&gt;"",VLOOKUP(distable[[#This Row],[ر.المادة]],sammary[[رمز المادة]:[السعر]],2,FALSE),"")</f>
        <v/>
      </c>
      <c r="D120" s="21"/>
      <c r="E120" s="21" t="str">
        <f>IF(distable[[#This Row],[ر.المادة]]&lt;&gt;"",VLOOKUP(distable[[#This Row],[ر.المادة]],sammary[[رمز المادة]:[السعر]],3,FALSE),"")</f>
        <v/>
      </c>
      <c r="F120" s="21"/>
      <c r="G120" s="21"/>
      <c r="H120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1" spans="1:8" ht="20.100000000000001" customHeight="1">
      <c r="A121" s="102"/>
      <c r="B121" s="21"/>
      <c r="C121" s="21" t="str">
        <f>IF(distable[[#This Row],[ر.المادة]]&lt;&gt;"",VLOOKUP(distable[[#This Row],[ر.المادة]],sammary[[رمز المادة]:[السعر]],2,FALSE),"")</f>
        <v/>
      </c>
      <c r="D121" s="21"/>
      <c r="E121" s="21" t="str">
        <f>IF(distable[[#This Row],[ر.المادة]]&lt;&gt;"",VLOOKUP(distable[[#This Row],[ر.المادة]],sammary[[رمز المادة]:[السعر]],3,FALSE),"")</f>
        <v/>
      </c>
      <c r="F121" s="21"/>
      <c r="G121" s="21"/>
      <c r="H121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2" spans="1:8" ht="20.100000000000001" customHeight="1">
      <c r="A122" s="102"/>
      <c r="B122" s="21"/>
      <c r="C122" s="21" t="str">
        <f>IF(distable[[#This Row],[ر.المادة]]&lt;&gt;"",VLOOKUP(distable[[#This Row],[ر.المادة]],sammary[[رمز المادة]:[السعر]],2,FALSE),"")</f>
        <v/>
      </c>
      <c r="D122" s="21"/>
      <c r="E122" s="21" t="str">
        <f>IF(distable[[#This Row],[ر.المادة]]&lt;&gt;"",VLOOKUP(distable[[#This Row],[ر.المادة]],sammary[[رمز المادة]:[السعر]],3,FALSE),"")</f>
        <v/>
      </c>
      <c r="F122" s="21"/>
      <c r="G122" s="21"/>
      <c r="H122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3" spans="1:8" ht="20.100000000000001" customHeight="1">
      <c r="A123" s="102"/>
      <c r="B123" s="21"/>
      <c r="C123" s="21" t="str">
        <f>IF(distable[[#This Row],[ر.المادة]]&lt;&gt;"",VLOOKUP(distable[[#This Row],[ر.المادة]],sammary[[رمز المادة]:[السعر]],2,FALSE),"")</f>
        <v/>
      </c>
      <c r="D123" s="21"/>
      <c r="E123" s="21" t="str">
        <f>IF(distable[[#This Row],[ر.المادة]]&lt;&gt;"",VLOOKUP(distable[[#This Row],[ر.المادة]],sammary[[رمز المادة]:[السعر]],3,FALSE),"")</f>
        <v/>
      </c>
      <c r="F123" s="21"/>
      <c r="G123" s="21"/>
      <c r="H123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4" spans="1:8" ht="20.100000000000001" customHeight="1">
      <c r="A124" s="102"/>
      <c r="B124" s="21"/>
      <c r="C124" s="21" t="str">
        <f>IF(distable[[#This Row],[ر.المادة]]&lt;&gt;"",VLOOKUP(distable[[#This Row],[ر.المادة]],sammary[[رمز المادة]:[السعر]],2,FALSE),"")</f>
        <v/>
      </c>
      <c r="D124" s="21"/>
      <c r="E124" s="21" t="str">
        <f>IF(distable[[#This Row],[ر.المادة]]&lt;&gt;"",VLOOKUP(distable[[#This Row],[ر.المادة]],sammary[[رمز المادة]:[السعر]],3,FALSE),"")</f>
        <v/>
      </c>
      <c r="F124" s="21"/>
      <c r="G124" s="21"/>
      <c r="H124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5" spans="1:8" ht="20.100000000000001" customHeight="1">
      <c r="A125" s="102"/>
      <c r="B125" s="21"/>
      <c r="C125" s="21" t="str">
        <f>IF(distable[[#This Row],[ر.المادة]]&lt;&gt;"",VLOOKUP(distable[[#This Row],[ر.المادة]],sammary[[رمز المادة]:[السعر]],2,FALSE),"")</f>
        <v/>
      </c>
      <c r="D125" s="21"/>
      <c r="E125" s="21" t="str">
        <f>IF(distable[[#This Row],[ر.المادة]]&lt;&gt;"",VLOOKUP(distable[[#This Row],[ر.المادة]],sammary[[رمز المادة]:[السعر]],3,FALSE),"")</f>
        <v/>
      </c>
      <c r="F125" s="21"/>
      <c r="G125" s="21"/>
      <c r="H125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6" spans="1:8" ht="20.100000000000001" customHeight="1">
      <c r="A126" s="102"/>
      <c r="B126" s="21"/>
      <c r="C126" s="21" t="str">
        <f>IF(distable[[#This Row],[ر.المادة]]&lt;&gt;"",VLOOKUP(distable[[#This Row],[ر.المادة]],sammary[[رمز المادة]:[السعر]],2,FALSE),"")</f>
        <v/>
      </c>
      <c r="D126" s="21"/>
      <c r="E126" s="21" t="str">
        <f>IF(distable[[#This Row],[ر.المادة]]&lt;&gt;"",VLOOKUP(distable[[#This Row],[ر.المادة]],sammary[[رمز المادة]:[السعر]],3,FALSE),"")</f>
        <v/>
      </c>
      <c r="F126" s="21"/>
      <c r="G126" s="21"/>
      <c r="H126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7" spans="1:8" ht="20.100000000000001" customHeight="1">
      <c r="A127" s="102"/>
      <c r="B127" s="21"/>
      <c r="C127" s="21" t="str">
        <f>IF(distable[[#This Row],[ر.المادة]]&lt;&gt;"",VLOOKUP(distable[[#This Row],[ر.المادة]],sammary[[رمز المادة]:[السعر]],2,FALSE),"")</f>
        <v/>
      </c>
      <c r="D127" s="21"/>
      <c r="E127" s="21" t="str">
        <f>IF(distable[[#This Row],[ر.المادة]]&lt;&gt;"",VLOOKUP(distable[[#This Row],[ر.المادة]],sammary[[رمز المادة]:[السعر]],3,FALSE),"")</f>
        <v/>
      </c>
      <c r="F127" s="21"/>
      <c r="G127" s="21"/>
      <c r="H127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8" spans="1:8" ht="20.100000000000001" customHeight="1">
      <c r="A128" s="102"/>
      <c r="B128" s="21"/>
      <c r="C128" s="21" t="str">
        <f>IF(distable[[#This Row],[ر.المادة]]&lt;&gt;"",VLOOKUP(distable[[#This Row],[ر.المادة]],sammary[[رمز المادة]:[السعر]],2,FALSE),"")</f>
        <v/>
      </c>
      <c r="D128" s="21"/>
      <c r="E128" s="21" t="str">
        <f>IF(distable[[#This Row],[ر.المادة]]&lt;&gt;"",VLOOKUP(distable[[#This Row],[ر.المادة]],sammary[[رمز المادة]:[السعر]],3,FALSE),"")</f>
        <v/>
      </c>
      <c r="F128" s="21"/>
      <c r="G128" s="21"/>
      <c r="H128" s="103" t="str">
        <f>IF(distable[[#This Row],[ر.المادة]]&lt;&gt;"",distable[[#This Row],[الكمية]]*(distable[[#This Row],[السعر الاصلي]]-distable[[#This Row],[السعر بعد الخصم]]),"")</f>
        <v/>
      </c>
    </row>
    <row r="129" spans="1:8" ht="20.100000000000001" customHeight="1">
      <c r="A129" s="102"/>
      <c r="B129" s="21"/>
      <c r="C129" s="21" t="str">
        <f>IF(distable[[#This Row],[ر.المادة]]&lt;&gt;"",VLOOKUP(distable[[#This Row],[ر.المادة]],sammary[[رمز المادة]:[السعر]],2,FALSE),"")</f>
        <v/>
      </c>
      <c r="D129" s="21"/>
      <c r="E129" s="21" t="str">
        <f>IF(distable[[#This Row],[ر.المادة]]&lt;&gt;"",VLOOKUP(distable[[#This Row],[ر.المادة]],sammary[[رمز المادة]:[السعر]],3,FALSE),"")</f>
        <v/>
      </c>
      <c r="F129" s="21"/>
      <c r="G129" s="21"/>
      <c r="H129" s="103" t="str">
        <f>IF(distable[[#This Row],[ر.المادة]]&lt;&gt;"",distable[[#This Row],[الكمية]]*(distable[[#This Row],[السعر الاصلي]]-distable[[#This Row],[السعر بعد الخصم]]),"")</f>
        <v/>
      </c>
    </row>
    <row r="130" spans="1:8" ht="20.100000000000001" customHeight="1">
      <c r="A130" s="102"/>
      <c r="B130" s="21"/>
      <c r="C130" s="21" t="str">
        <f>IF(distable[[#This Row],[ر.المادة]]&lt;&gt;"",VLOOKUP(distable[[#This Row],[ر.المادة]],sammary[[رمز المادة]:[السعر]],2,FALSE),"")</f>
        <v/>
      </c>
      <c r="D130" s="21"/>
      <c r="E130" s="21" t="str">
        <f>IF(distable[[#This Row],[ر.المادة]]&lt;&gt;"",VLOOKUP(distable[[#This Row],[ر.المادة]],sammary[[رمز المادة]:[السعر]],3,FALSE),"")</f>
        <v/>
      </c>
      <c r="F130" s="21"/>
      <c r="G130" s="21"/>
      <c r="H130" s="103" t="str">
        <f>IF(distable[[#This Row],[ر.المادة]]&lt;&gt;"",distable[[#This Row],[الكمية]]*(distable[[#This Row],[السعر الاصلي]]-distable[[#This Row],[السعر بعد الخصم]]),"")</f>
        <v/>
      </c>
    </row>
    <row r="131" spans="1:8" ht="20.100000000000001" customHeight="1">
      <c r="A131" s="102"/>
      <c r="B131" s="21"/>
      <c r="C131" s="21" t="str">
        <f>IF(distable[[#This Row],[ر.المادة]]&lt;&gt;"",VLOOKUP(distable[[#This Row],[ر.المادة]],sammary[[رمز المادة]:[السعر]],2,FALSE),"")</f>
        <v/>
      </c>
      <c r="D131" s="21"/>
      <c r="E131" s="21" t="str">
        <f>IF(distable[[#This Row],[ر.المادة]]&lt;&gt;"",VLOOKUP(distable[[#This Row],[ر.المادة]],sammary[[رمز المادة]:[السعر]],3,FALSE),"")</f>
        <v/>
      </c>
      <c r="F131" s="21"/>
      <c r="G131" s="21"/>
      <c r="H131" s="103" t="str">
        <f>IF(distable[[#This Row],[ر.المادة]]&lt;&gt;"",distable[[#This Row],[الكمية]]*(distable[[#This Row],[السعر الاصلي]]-distable[[#This Row],[السعر بعد الخصم]]),"")</f>
        <v/>
      </c>
    </row>
    <row r="132" spans="1:8" ht="20.100000000000001" customHeight="1">
      <c r="A132" s="102"/>
      <c r="B132" s="21"/>
      <c r="C132" s="21" t="str">
        <f>IF(distable[[#This Row],[ر.المادة]]&lt;&gt;"",VLOOKUP(distable[[#This Row],[ر.المادة]],sammary[[رمز المادة]:[السعر]],2,FALSE),"")</f>
        <v/>
      </c>
      <c r="D132" s="21"/>
      <c r="E132" s="21" t="str">
        <f>IF(distable[[#This Row],[ر.المادة]]&lt;&gt;"",VLOOKUP(distable[[#This Row],[ر.المادة]],sammary[[رمز المادة]:[السعر]],3,FALSE),"")</f>
        <v/>
      </c>
      <c r="F132" s="21"/>
      <c r="G132" s="21"/>
      <c r="H132" s="103" t="str">
        <f>IF(distable[[#This Row],[ر.المادة]]&lt;&gt;"",distable[[#This Row],[الكمية]]*(distable[[#This Row],[السعر الاصلي]]-distable[[#This Row],[السعر بعد الخصم]]),"")</f>
        <v/>
      </c>
    </row>
    <row r="133" spans="1:8" ht="20.100000000000001" customHeight="1">
      <c r="A133" s="102"/>
      <c r="B133" s="21"/>
      <c r="C133" s="21" t="str">
        <f>IF(distable[[#This Row],[ر.المادة]]&lt;&gt;"",VLOOKUP(distable[[#This Row],[ر.المادة]],sammary[[رمز المادة]:[السعر]],2,FALSE),"")</f>
        <v/>
      </c>
      <c r="D133" s="21"/>
      <c r="E133" s="21" t="str">
        <f>IF(distable[[#This Row],[ر.المادة]]&lt;&gt;"",VLOOKUP(distable[[#This Row],[ر.المادة]],sammary[[رمز المادة]:[السعر]],3,FALSE),"")</f>
        <v/>
      </c>
      <c r="F133" s="21"/>
      <c r="G133" s="21"/>
      <c r="H133" s="103" t="str">
        <f>IF(distable[[#This Row],[ر.المادة]]&lt;&gt;"",distable[[#This Row],[الكمية]]*(distable[[#This Row],[السعر الاصلي]]-distable[[#This Row],[السعر بعد الخصم]]),"")</f>
        <v/>
      </c>
    </row>
    <row r="134" spans="1:8" ht="20.100000000000001" customHeight="1">
      <c r="A134" s="102"/>
      <c r="B134" s="21"/>
      <c r="C134" s="21" t="str">
        <f>IF(distable[[#This Row],[ر.المادة]]&lt;&gt;"",VLOOKUP(distable[[#This Row],[ر.المادة]],sammary[[رمز المادة]:[السعر]],2,FALSE),"")</f>
        <v/>
      </c>
      <c r="D134" s="21"/>
      <c r="E134" s="21" t="str">
        <f>IF(distable[[#This Row],[ر.المادة]]&lt;&gt;"",VLOOKUP(distable[[#This Row],[ر.المادة]],sammary[[رمز المادة]:[السعر]],3,FALSE),"")</f>
        <v/>
      </c>
      <c r="F134" s="21"/>
      <c r="G134" s="21"/>
      <c r="H134" s="103" t="str">
        <f>IF(distable[[#This Row],[ر.المادة]]&lt;&gt;"",distable[[#This Row],[الكمية]]*(distable[[#This Row],[السعر الاصلي]]-distable[[#This Row],[السعر بعد الخصم]]),"")</f>
        <v/>
      </c>
    </row>
    <row r="135" spans="1:8" ht="20.100000000000001" customHeight="1">
      <c r="A135" s="102"/>
      <c r="B135" s="21"/>
      <c r="C135" s="21" t="str">
        <f>IF(distable[[#This Row],[ر.المادة]]&lt;&gt;"",VLOOKUP(distable[[#This Row],[ر.المادة]],sammary[[رمز المادة]:[السعر]],2,FALSE),"")</f>
        <v/>
      </c>
      <c r="D135" s="21"/>
      <c r="E135" s="21" t="str">
        <f>IF(distable[[#This Row],[ر.المادة]]&lt;&gt;"",VLOOKUP(distable[[#This Row],[ر.المادة]],sammary[[رمز المادة]:[السعر]],3,FALSE),"")</f>
        <v/>
      </c>
      <c r="F135" s="21"/>
      <c r="G135" s="21"/>
      <c r="H135" s="103" t="str">
        <f>IF(distable[[#This Row],[ر.المادة]]&lt;&gt;"",distable[[#This Row],[الكمية]]*(distable[[#This Row],[السعر الاصلي]]-distable[[#This Row],[السعر بعد الخصم]]),"")</f>
        <v/>
      </c>
    </row>
    <row r="136" spans="1:8" ht="20.100000000000001" customHeight="1">
      <c r="A136" s="102"/>
      <c r="B136" s="21"/>
      <c r="C136" s="21" t="str">
        <f>IF(distable[[#This Row],[ر.المادة]]&lt;&gt;"",VLOOKUP(distable[[#This Row],[ر.المادة]],sammary[[رمز المادة]:[السعر]],2,FALSE),"")</f>
        <v/>
      </c>
      <c r="D136" s="21"/>
      <c r="E136" s="21" t="str">
        <f>IF(distable[[#This Row],[ر.المادة]]&lt;&gt;"",VLOOKUP(distable[[#This Row],[ر.المادة]],sammary[[رمز المادة]:[السعر]],3,FALSE),"")</f>
        <v/>
      </c>
      <c r="F136" s="21"/>
      <c r="G136" s="21"/>
      <c r="H136" s="103" t="str">
        <f>IF(distable[[#This Row],[ر.المادة]]&lt;&gt;"",distable[[#This Row],[الكمية]]*(distable[[#This Row],[السعر الاصلي]]-distable[[#This Row],[السعر بعد الخصم]]),"")</f>
        <v/>
      </c>
    </row>
  </sheetData>
  <mergeCells count="1">
    <mergeCell ref="A1:G1"/>
  </mergeCells>
  <conditionalFormatting sqref="H3:H136">
    <cfRule type="colorScale" priority="1">
      <colorScale>
        <cfvo type="num" val="-50"/>
        <cfvo type="num" val="0"/>
        <cfvo type="num" val="50"/>
        <color theme="9"/>
        <color theme="0"/>
        <color rgb="FFFF5050"/>
      </colorScale>
    </cfRule>
  </conditionalFormatting>
  <pageMargins left="0.7" right="0.7" top="0.75" bottom="0.75" header="0.3" footer="0.3"/>
  <pageSetup paperSize="9" scale="66" orientation="portrait" r:id="rId1"/>
  <ignoredErrors>
    <ignoredError sqref="H1" evalError="1"/>
  </ignoredError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4ABC-C9DB-49BD-B550-F47F8EADA121}">
  <sheetPr codeName="Sheet4">
    <tabColor rgb="FFFF0000"/>
    <pageSetUpPr fitToPage="1"/>
  </sheetPr>
  <dimension ref="A1:K57"/>
  <sheetViews>
    <sheetView showGridLines="0" rightToLeft="1" view="pageBreakPreview" topLeftCell="A13" zoomScaleNormal="120" zoomScaleSheetLayoutView="100" workbookViewId="0">
      <selection activeCell="D19" sqref="D19"/>
    </sheetView>
  </sheetViews>
  <sheetFormatPr defaultColWidth="8.85546875" defaultRowHeight="15.75"/>
  <cols>
    <col min="1" max="1" width="7.28515625" style="26" customWidth="1"/>
    <col min="2" max="2" width="40.7109375" style="50" customWidth="1"/>
    <col min="3" max="3" width="20.7109375" style="50" customWidth="1"/>
    <col min="4" max="4" width="40.7109375" style="50" customWidth="1"/>
    <col min="5" max="9" width="8.85546875" style="26"/>
    <col min="10" max="10" width="10.7109375" style="26" bestFit="1" customWidth="1"/>
    <col min="11" max="16384" width="8.85546875" style="26"/>
  </cols>
  <sheetData>
    <row r="1" spans="1:11" ht="23.25">
      <c r="A1" s="111" t="s">
        <v>97</v>
      </c>
      <c r="B1" s="111"/>
      <c r="C1" s="116" t="s">
        <v>120</v>
      </c>
      <c r="D1" s="117"/>
    </row>
    <row r="2" spans="1:11">
      <c r="B2" s="27"/>
      <c r="C2" s="27"/>
      <c r="D2" s="27"/>
    </row>
    <row r="3" spans="1:11" ht="18" customHeight="1">
      <c r="A3" s="112" t="s">
        <v>98</v>
      </c>
      <c r="B3" s="28" t="str">
        <f>'[1]كشف الانتاج'!A1</f>
        <v>اجمالي عمل شفت الكنتاكي</v>
      </c>
      <c r="C3" s="29"/>
      <c r="D3" s="30">
        <f>'كشف الانتاج'!D1</f>
        <v>35</v>
      </c>
      <c r="E3" s="31"/>
      <c r="F3" s="31"/>
    </row>
    <row r="4" spans="1:11" ht="18.75">
      <c r="A4" s="112"/>
      <c r="B4" s="28" t="str">
        <f>'[1]كشف الانتاج'!A2</f>
        <v>اجمالى عمل الدائرى</v>
      </c>
      <c r="C4" s="29"/>
      <c r="D4" s="30">
        <f>'كشف الانتاج'!D2</f>
        <v>11.5</v>
      </c>
      <c r="E4" s="31"/>
      <c r="F4" s="31"/>
    </row>
    <row r="5" spans="1:11" ht="18.75">
      <c r="A5" s="112"/>
      <c r="B5" s="28" t="str">
        <f>'[1]كشف الانتاج'!A3</f>
        <v>اجمالى عمل الاطوال</v>
      </c>
      <c r="C5" s="29"/>
      <c r="D5" s="30">
        <f>'كشف الانتاج'!D3</f>
        <v>29</v>
      </c>
      <c r="E5" s="31"/>
      <c r="F5" s="31"/>
    </row>
    <row r="6" spans="1:11" ht="18.75">
      <c r="A6" s="112"/>
      <c r="B6" s="28" t="str">
        <f>'[1]كشف الانتاج'!A4</f>
        <v>اجمالي عمل شفت الطوارئ</v>
      </c>
      <c r="C6" s="29"/>
      <c r="D6" s="30">
        <f>'كشف الانتاج'!D4</f>
        <v>0</v>
      </c>
      <c r="E6" s="31"/>
      <c r="F6" s="31"/>
    </row>
    <row r="7" spans="1:11" ht="18.75">
      <c r="A7" s="112"/>
      <c r="B7" s="32" t="str">
        <f>'[1]كشف الانتاج'!$A$5</f>
        <v>اجمالى العمل الكلى</v>
      </c>
      <c r="C7" s="29"/>
      <c r="D7" s="33">
        <f>SUM(D3:D6)</f>
        <v>75.5</v>
      </c>
      <c r="E7" s="31"/>
      <c r="F7" s="31"/>
    </row>
    <row r="8" spans="1:11" ht="18.75">
      <c r="A8" s="112"/>
      <c r="B8" s="34"/>
      <c r="C8" s="35"/>
      <c r="D8" s="29"/>
      <c r="E8" s="114"/>
      <c r="F8" s="114"/>
    </row>
    <row r="9" spans="1:11" ht="18.75">
      <c r="A9" s="113"/>
      <c r="B9" s="36" t="str">
        <f>'[1]كشف الانتاج'!$E$6</f>
        <v>خط الانتاج</v>
      </c>
      <c r="C9" s="29"/>
      <c r="D9" s="37" t="e">
        <f ca="1">'كشف الانتاج'!K38</f>
        <v>#NAME?</v>
      </c>
      <c r="E9" s="115"/>
      <c r="F9" s="115"/>
    </row>
    <row r="10" spans="1:11" ht="18.75">
      <c r="A10" s="112"/>
      <c r="B10" s="34"/>
      <c r="C10" s="29"/>
      <c r="D10" s="38"/>
      <c r="E10" s="31"/>
      <c r="F10" s="31"/>
      <c r="G10" s="31"/>
      <c r="H10" s="31"/>
      <c r="I10" s="31"/>
      <c r="J10" s="31"/>
      <c r="K10" s="31"/>
    </row>
    <row r="11" spans="1:11" ht="18.75">
      <c r="A11" s="113"/>
      <c r="B11" s="36" t="str">
        <f>'[1]كشف الانتاج'!$N$6</f>
        <v>متبقي امس</v>
      </c>
      <c r="C11" s="29"/>
      <c r="D11" s="39">
        <f>'كشف الانتاج'!O38</f>
        <v>178250</v>
      </c>
      <c r="E11" s="31"/>
      <c r="F11" s="31"/>
      <c r="G11" s="31"/>
      <c r="H11" s="40"/>
      <c r="I11" s="31"/>
      <c r="J11" s="40"/>
      <c r="K11" s="31"/>
    </row>
    <row r="12" spans="1:11" ht="18.75">
      <c r="A12" s="112"/>
      <c r="B12" s="34"/>
      <c r="C12" s="29"/>
      <c r="D12" s="38"/>
      <c r="E12" s="31"/>
      <c r="F12" s="31"/>
      <c r="G12" s="31"/>
      <c r="H12" s="31"/>
      <c r="I12" s="31"/>
      <c r="J12" s="31"/>
      <c r="K12" s="31"/>
    </row>
    <row r="13" spans="1:11" ht="18.75">
      <c r="A13" s="113"/>
      <c r="B13" s="36" t="str">
        <f>'[1]كشف الانتاج'!$P$6</f>
        <v>الوارد</v>
      </c>
      <c r="C13" s="29"/>
      <c r="D13" s="41">
        <f>'كشف الانتاج'!Q38</f>
        <v>227500</v>
      </c>
      <c r="E13" s="31"/>
      <c r="F13" s="31"/>
      <c r="G13" s="31"/>
      <c r="H13" s="31"/>
      <c r="I13" s="31"/>
      <c r="J13" s="42"/>
      <c r="K13" s="31"/>
    </row>
    <row r="14" spans="1:11" ht="18.75">
      <c r="A14" s="112"/>
      <c r="B14" s="34"/>
      <c r="C14" s="29"/>
      <c r="D14" s="38"/>
      <c r="E14" s="31"/>
      <c r="F14" s="31"/>
      <c r="G14" s="31"/>
      <c r="H14" s="31"/>
      <c r="I14" s="31"/>
      <c r="J14" s="31"/>
      <c r="K14" s="31"/>
    </row>
    <row r="15" spans="1:11" ht="18.75">
      <c r="A15" s="113"/>
      <c r="B15" s="36" t="str">
        <f>'[1]كشف الانتاج'!$R$6</f>
        <v>التلف</v>
      </c>
      <c r="C15" s="29"/>
      <c r="D15" s="39">
        <f>'كشف الانتاج'!S38</f>
        <v>0</v>
      </c>
      <c r="E15" s="31"/>
      <c r="F15" s="31"/>
      <c r="G15" s="31"/>
      <c r="H15" s="31"/>
      <c r="I15" s="31"/>
      <c r="J15" s="31"/>
      <c r="K15" s="31"/>
    </row>
    <row r="16" spans="1:11" ht="18.75">
      <c r="A16" s="112"/>
      <c r="B16" s="34"/>
      <c r="C16" s="29"/>
      <c r="D16" s="38"/>
    </row>
    <row r="17" spans="1:8" ht="18.75">
      <c r="A17" s="113"/>
      <c r="B17" s="36" t="str">
        <f>'[1]كشف الانتاج'!$T$6</f>
        <v>المبيعات</v>
      </c>
      <c r="C17" s="29"/>
      <c r="D17" s="43"/>
    </row>
    <row r="18" spans="1:8" ht="18.75">
      <c r="A18" s="112"/>
      <c r="B18" s="34"/>
      <c r="C18" s="29"/>
      <c r="D18" s="38"/>
    </row>
    <row r="19" spans="1:8" ht="18.75">
      <c r="A19" s="113"/>
      <c r="B19" s="36" t="str">
        <f>'[1]كشف الانتاج'!$V$6</f>
        <v>فرق الانتاج</v>
      </c>
      <c r="C19" s="29"/>
      <c r="D19" s="39" t="e">
        <f ca="1">'كشف الانتاج'!W38</f>
        <v>#NAME?</v>
      </c>
    </row>
    <row r="20" spans="1:8" ht="18.75">
      <c r="A20" s="112"/>
      <c r="B20" s="34"/>
      <c r="C20" s="29"/>
      <c r="D20" s="38"/>
    </row>
    <row r="21" spans="1:8" ht="18.75">
      <c r="A21" s="113"/>
      <c r="B21" s="36" t="str">
        <f>'[1]كشف الانتاج'!$X$6</f>
        <v>متبقي اليوم</v>
      </c>
      <c r="C21" s="29"/>
      <c r="D21" s="39">
        <f>'كشف الانتاج'!Y38</f>
        <v>485100</v>
      </c>
    </row>
    <row r="22" spans="1:8" ht="18.75">
      <c r="A22" s="112"/>
      <c r="B22" s="34"/>
      <c r="C22" s="29"/>
      <c r="D22" s="38"/>
    </row>
    <row r="23" spans="1:8" ht="18.75">
      <c r="A23" s="113"/>
      <c r="B23" s="36">
        <f>'[1]فروق الاسعار'!$A$60</f>
        <v>0</v>
      </c>
      <c r="C23" s="29"/>
      <c r="D23" s="39">
        <f>'فروق الاسعار'!H1</f>
        <v>0</v>
      </c>
    </row>
    <row r="24" spans="1:8" ht="18.75">
      <c r="A24" s="112"/>
      <c r="B24" s="34"/>
      <c r="C24" s="29"/>
      <c r="D24" s="38"/>
    </row>
    <row r="25" spans="1:8" ht="24.95" customHeight="1">
      <c r="A25" s="113"/>
      <c r="B25" s="36" t="s">
        <v>99</v>
      </c>
      <c r="C25" s="29"/>
      <c r="D25" s="44" t="e">
        <f ca="1">D9+D11+D13+D37+D39-D17-D21-D23</f>
        <v>#NAME?</v>
      </c>
    </row>
    <row r="26" spans="1:8" ht="18.75">
      <c r="A26" s="45"/>
      <c r="B26" s="46"/>
      <c r="C26" s="47"/>
      <c r="D26" s="48"/>
    </row>
    <row r="27" spans="1:8" ht="18" customHeight="1">
      <c r="A27" s="108" t="s">
        <v>100</v>
      </c>
      <c r="B27" s="36" t="s">
        <v>101</v>
      </c>
      <c r="C27" s="29"/>
      <c r="D27" s="43"/>
    </row>
    <row r="28" spans="1:8" ht="18.75">
      <c r="A28" s="109"/>
      <c r="B28" s="34"/>
      <c r="C28" s="29"/>
      <c r="D28" s="38"/>
    </row>
    <row r="29" spans="1:8" ht="18.75">
      <c r="A29" s="108"/>
      <c r="B29" s="36" t="s">
        <v>102</v>
      </c>
      <c r="C29" s="29"/>
      <c r="D29" s="43"/>
    </row>
    <row r="30" spans="1:8" ht="18.75">
      <c r="A30" s="109"/>
      <c r="B30" s="34"/>
      <c r="C30" s="29"/>
      <c r="D30" s="38"/>
    </row>
    <row r="31" spans="1:8" ht="18.75">
      <c r="A31" s="108"/>
      <c r="B31" s="36" t="s">
        <v>103</v>
      </c>
      <c r="C31" s="29"/>
      <c r="D31" s="43"/>
      <c r="E31" s="110"/>
      <c r="F31" s="110"/>
      <c r="G31" s="110"/>
      <c r="H31" s="110"/>
    </row>
    <row r="32" spans="1:8" ht="18.75">
      <c r="A32" s="109"/>
      <c r="B32" s="34"/>
      <c r="C32" s="29"/>
      <c r="D32" s="34"/>
      <c r="E32" s="29"/>
      <c r="F32" s="38"/>
    </row>
    <row r="33" spans="1:4" ht="18.75">
      <c r="A33" s="108"/>
      <c r="B33" s="36" t="s">
        <v>104</v>
      </c>
      <c r="C33" s="29"/>
      <c r="D33" s="43"/>
    </row>
    <row r="34" spans="1:4" ht="18.75">
      <c r="A34" s="109"/>
      <c r="B34" s="34"/>
      <c r="C34" s="29"/>
      <c r="D34" s="38"/>
    </row>
    <row r="35" spans="1:4" ht="18.75">
      <c r="A35" s="108"/>
      <c r="B35" s="36" t="s">
        <v>105</v>
      </c>
      <c r="C35" s="29"/>
      <c r="D35" s="43"/>
    </row>
    <row r="36" spans="1:4" ht="18.75">
      <c r="A36" s="109"/>
      <c r="B36" s="34"/>
      <c r="C36" s="29"/>
      <c r="D36" s="38"/>
    </row>
    <row r="37" spans="1:4" ht="18.75">
      <c r="A37" s="108"/>
      <c r="B37" s="36" t="s">
        <v>106</v>
      </c>
      <c r="C37" s="29"/>
      <c r="D37" s="43"/>
    </row>
    <row r="38" spans="1:4" ht="18.75">
      <c r="A38" s="109"/>
      <c r="B38" s="34"/>
      <c r="C38" s="29"/>
      <c r="D38" s="38"/>
    </row>
    <row r="39" spans="1:4" ht="18.75">
      <c r="A39" s="108"/>
      <c r="B39" s="36" t="s">
        <v>107</v>
      </c>
      <c r="C39" s="29"/>
      <c r="D39" s="43"/>
    </row>
    <row r="40" spans="1:4" ht="18.75">
      <c r="A40" s="109"/>
      <c r="B40" s="34"/>
      <c r="C40" s="29"/>
      <c r="D40" s="38"/>
    </row>
    <row r="41" spans="1:4" ht="18.75">
      <c r="A41" s="108"/>
      <c r="B41" s="36" t="s">
        <v>108</v>
      </c>
      <c r="C41" s="29"/>
      <c r="D41" s="43"/>
    </row>
    <row r="42" spans="1:4" ht="18.75">
      <c r="A42" s="109"/>
      <c r="B42" s="34"/>
      <c r="C42" s="29"/>
      <c r="D42" s="38"/>
    </row>
    <row r="43" spans="1:4" ht="18.75">
      <c r="A43" s="108"/>
      <c r="B43" s="36" t="s">
        <v>109</v>
      </c>
      <c r="C43" s="29"/>
      <c r="D43" s="43"/>
    </row>
    <row r="44" spans="1:4" ht="18.75">
      <c r="A44" s="109"/>
      <c r="B44" s="34"/>
      <c r="C44" s="29"/>
      <c r="D44" s="38"/>
    </row>
    <row r="45" spans="1:4" ht="18.75">
      <c r="A45" s="108"/>
      <c r="B45" s="36" t="s">
        <v>110</v>
      </c>
      <c r="C45" s="29"/>
      <c r="D45" s="43"/>
    </row>
    <row r="46" spans="1:4" ht="18.75">
      <c r="A46" s="109"/>
      <c r="B46" s="42"/>
      <c r="C46" s="35"/>
      <c r="D46" s="49"/>
    </row>
    <row r="47" spans="1:4" ht="18.75">
      <c r="A47" s="108"/>
      <c r="B47" s="36" t="s">
        <v>111</v>
      </c>
      <c r="C47" s="29"/>
      <c r="D47" s="43"/>
    </row>
    <row r="48" spans="1:4" ht="12.75">
      <c r="A48" s="109"/>
      <c r="B48" s="26"/>
      <c r="C48" s="26"/>
      <c r="D48" s="26"/>
    </row>
    <row r="49" spans="1:4" ht="18.75">
      <c r="A49" s="108"/>
      <c r="B49" s="36" t="s">
        <v>112</v>
      </c>
      <c r="C49" s="29"/>
      <c r="D49" s="43"/>
    </row>
    <row r="50" spans="1:4" ht="12.75">
      <c r="B50" s="26"/>
      <c r="C50" s="26"/>
      <c r="D50" s="26"/>
    </row>
    <row r="51" spans="1:4" ht="12.75">
      <c r="B51" s="26"/>
      <c r="C51" s="26"/>
      <c r="D51" s="26"/>
    </row>
    <row r="52" spans="1:4" ht="12.75">
      <c r="B52" s="26"/>
      <c r="C52" s="26"/>
      <c r="D52" s="26"/>
    </row>
    <row r="53" spans="1:4" ht="12.75">
      <c r="B53" s="26"/>
      <c r="C53" s="26"/>
      <c r="D53" s="26"/>
    </row>
    <row r="54" spans="1:4" ht="12.75">
      <c r="B54" s="26"/>
      <c r="C54" s="26"/>
      <c r="D54" s="26"/>
    </row>
    <row r="55" spans="1:4" ht="12.75">
      <c r="B55" s="26"/>
      <c r="C55" s="26"/>
      <c r="D55" s="26"/>
    </row>
    <row r="56" spans="1:4" ht="12.75">
      <c r="B56" s="26"/>
      <c r="C56" s="26"/>
      <c r="D56" s="26"/>
    </row>
    <row r="57" spans="1:4" ht="12.75">
      <c r="B57" s="26"/>
      <c r="C57" s="26"/>
      <c r="D57" s="26"/>
    </row>
  </sheetData>
  <mergeCells count="7">
    <mergeCell ref="A27:A49"/>
    <mergeCell ref="E31:H31"/>
    <mergeCell ref="A1:B1"/>
    <mergeCell ref="A3:A25"/>
    <mergeCell ref="E8:F8"/>
    <mergeCell ref="E9:F9"/>
    <mergeCell ref="C1:D1"/>
  </mergeCells>
  <pageMargins left="0" right="0" top="0" bottom="0" header="0" footer="0"/>
  <pageSetup paperSize="9" scale="5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backend</vt:lpstr>
      <vt:lpstr>عداد الخلفات</vt:lpstr>
      <vt:lpstr>عداد النازل</vt:lpstr>
      <vt:lpstr>متابعة تعبئة</vt:lpstr>
      <vt:lpstr>كشف الانتاج</vt:lpstr>
      <vt:lpstr>المناقلات</vt:lpstr>
      <vt:lpstr>فروق الاسعار</vt:lpstr>
      <vt:lpstr>التقرير النهائى العام</vt:lpstr>
      <vt:lpstr>backend!Print_Area</vt:lpstr>
      <vt:lpstr>'التقرير النهائى العام'!Print_Area</vt:lpstr>
      <vt:lpstr>المناقلات!Print_Area</vt:lpstr>
      <vt:lpstr>'عداد الخلفات'!Print_Area</vt:lpstr>
      <vt:lpstr>'عداد النازل'!Print_Area</vt:lpstr>
      <vt:lpstr>'فروق الاسعار'!Print_Area</vt:lpstr>
      <vt:lpstr>'كشف الانتاج'!Print_Area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DWS</dc:creator>
  <cp:lastModifiedBy>Husam Obaid</cp:lastModifiedBy>
  <cp:lastPrinted>2026-05-08T15:33:35Z</cp:lastPrinted>
  <dcterms:created xsi:type="dcterms:W3CDTF">2015-06-05T18:17:20Z</dcterms:created>
  <dcterms:modified xsi:type="dcterms:W3CDTF">2026-06-01T20:15:21Z</dcterms:modified>
</cp:coreProperties>
</file>